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hwi\Downloads\"/>
    </mc:Choice>
  </mc:AlternateContent>
  <xr:revisionPtr revIDLastSave="0" documentId="13_ncr:1_{8294467F-AE9C-45A0-8732-FC7BC07761E9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Overview" sheetId="1" r:id="rId1"/>
    <sheet name="Module Tracker" sheetId="2" r:id="rId2"/>
    <sheet name="Issues &amp; Risks" sheetId="3" r:id="rId3"/>
    <sheet name="Scope Gaps &amp; Clarifications" sheetId="4" r:id="rId4"/>
    <sheet name="Deliverables Checklist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<sst xmlns="http://schemas.openxmlformats.org/spreadsheetml/2006/main" count="811" uniqueCount="364">
  <si>
    <t>KING 24x7 — Tamil News Platform</t>
  </si>
  <si>
    <t>Module Priority, Progress &amp; Risk Tracker (Spring Boot + React Build)</t>
  </si>
  <si>
    <t>Prepared from: King24x7_Requirements_SpringBoot_React.docx | Client reference mockup (Hostinger) | Live dev build (king-tv.test-technoprint.online)</t>
  </si>
  <si>
    <t>How to use this workbook</t>
  </si>
  <si>
    <t>1. 'Module Tracker' — every module/feature from the client requirements doc, tagged with priority (P0-P3) and current status.</t>
  </si>
  <si>
    <t>2. Where a status could be confirmed by fetching the public URLs, it is marked 'Implemented' / 'Likely Implemented' / 'Potential Gap' with the finding noted in the Evidence column.</t>
  </si>
  <si>
    <t>3. Everything that sits behind login (admin dashboard, reporter workflow, ad system, SEO automation panels, etc.) is marked 'Pending Manual QA' — this environment cannot execute JavaScript or submit the admin login form, so it cannot click through an authenticated React app.</t>
  </si>
  <si>
    <t>4. Use the blank 'Verified By' / 'Date' / 'Actual Status' columns on the Module Tracker sheet during a real walkthrough (log in with the credentials provided) to convert this from a requirements checklist into a true progress report.</t>
  </si>
  <si>
    <t>5. 'Issues &amp; Risks' lists concrete findings from the remote check plus structural risks called out in the requirements doc itself.</t>
  </si>
  <si>
    <t>6. 'Scope Gaps &amp; Clarifications' lists features present in the client's own reference mockup that are NOT in the written requirements doc — these need a scope decision.</t>
  </si>
  <si>
    <t>7. 'Deliverables Checklist' tracks Section 6 handover items.</t>
  </si>
  <si>
    <t>Snapshot (auto-calculated from Module Tracker sheet)</t>
  </si>
  <si>
    <t>Metric</t>
  </si>
  <si>
    <t>Count</t>
  </si>
  <si>
    <t>Total tracked modules/features</t>
  </si>
  <si>
    <t>P0 — Critical / launch-blocking</t>
  </si>
  <si>
    <t>P1 — High priority</t>
  </si>
  <si>
    <t>P2 — Medium priority</t>
  </si>
  <si>
    <t>P3 — Low / post-launch</t>
  </si>
  <si>
    <t>Confirmed Implemented / Likely Implemented (remote check)</t>
  </si>
  <si>
    <t>Partially Implemented</t>
  </si>
  <si>
    <t>Potential Gap — Needs Verification</t>
  </si>
  <si>
    <t>Pending Manual QA (login-gated, not remotely verifiable)</t>
  </si>
  <si>
    <t>Critical risk items logged</t>
  </si>
  <si>
    <t>High risk items logged</t>
  </si>
  <si>
    <t>Key headline findings from this pass</t>
  </si>
  <si>
    <t>• BRANDING MISMATCH: the client's reference site displays 'KING 24x7' with a blue theme (#0057FF); the live dev build's page title reads 'KINGS 24x7' with a brown/gold theme (#B3732A). Needs sign-off on which is correct.</t>
  </si>
  <si>
    <t>• The live homepage (https://king-tv.test-technoprint.online/) returns only &lt;head&gt; meta tags in the raw HTML response — the &lt;body&gt; is empty until client-side JavaScript runs. This is consistent with a pure client-side-rendered (CSR) React SPA rather than the SSR/pre-rendering the requirements call for (§3.4, §3.7) for SEO-critical pages. This is a real risk to Google News/Discover indexing and Core Web Vitals (LCP) if not addressed before launch — flagged, not confirmed, since full rendering could not be tested.</t>
  </si>
  <si>
    <t>• A Google Search Console verification meta tag IS present in both the public site and the admin portal's HTML head — a good sign that GSC setup has begun.</t>
  </si>
  <si>
    <t>• The admin portal is served on a non-default, authenticated path (/admin/dashboard) rather than a predictable WordPress-style URL, matching the §3.8 requirement on that specific point.</t>
  </si>
  <si>
    <t>• The shared Google Sheet link returned a 401 (access not granted to this session) and could not be read — its priorities/status could not be cross-checked into this workbook. Share it as 'Anyone with the link can view' or paste its contents if it should feed into this tracker.</t>
  </si>
  <si>
    <t>• This automated pass cannot log into the admin panel or click through the authenticated React app (no JavaScript execution / form submission available in this environment), so functional correctness of reporter workflows, ad system, SEO automation, RBAC, media pipeline etc. is UNVERIFIED here and needs a manual QA pass using the credentials supplied.</t>
  </si>
  <si>
    <t>Module &amp; Feature Priority / Progress Tracker</t>
  </si>
  <si>
    <t>Priority set per business criticality in the requirements doc. Status reflects what could be confirmed from public, unauthenticated URLs only (see Overview). Fill in 'Actual Status / Verified By / Date' during a live walkthrough.</t>
  </si>
  <si>
    <t>Req. Ref</t>
  </si>
  <si>
    <t>Module Area</t>
  </si>
  <si>
    <t>Feature / Requirement</t>
  </si>
  <si>
    <t>Priority</t>
  </si>
  <si>
    <t>Status (Remote Check)</t>
  </si>
  <si>
    <t>Evidence / Finding</t>
  </si>
  <si>
    <t>Issue Identified</t>
  </si>
  <si>
    <t>Actual Status (fill in after manual QA)</t>
  </si>
  <si>
    <t>Verified By</t>
  </si>
  <si>
    <t>Date Verified</t>
  </si>
  <si>
    <t>Notes</t>
  </si>
  <si>
    <t>3.1 Design &amp; Branding</t>
  </si>
  <si>
    <t>3.1</t>
  </si>
  <si>
    <t>Design &amp; Branding</t>
  </si>
  <si>
    <t>Custom brand design system (primary/secondary/accent palette)</t>
  </si>
  <si>
    <t>P0</t>
  </si>
  <si>
    <t>Pending Manual QA (Not Verifiable Remotely)</t>
  </si>
  <si>
    <t>Live build uses theme-color #B3732A (brown/gold); client mockup uses #0057FF (blue).</t>
  </si>
  <si>
    <t>Colour palette on live build does not match client's reference mockup — needs sign-off on final brand colours.</t>
  </si>
  <si>
    <t>Tamil + English dual font system (Noto Sans Tamil / Playfair or Merriweather)</t>
  </si>
  <si>
    <t>Fonts not verifiable without rendering the page (CSR).</t>
  </si>
  <si>
    <t>Confirm via manual QA / view-source of built CSS bundle.</t>
  </si>
  <si>
    <t>WCAG AA colour contrast compliance</t>
  </si>
  <si>
    <t>P1</t>
  </si>
  <si>
    <t>Requires rendered page + contrast audit tool.</t>
  </si>
  <si>
    <t>Dark mode toggle, persisted per user (not just browser flag)</t>
  </si>
  <si>
    <t>P2</t>
  </si>
  <si>
    <t>Client mockup includes a working theme/dark-mode + widget customisation panel; live build parity unconfirmed.</t>
  </si>
  <si>
    <t>Fully responsive (desktop/tablet/mobile)</t>
  </si>
  <si>
    <t>Needs manual multi-viewport QA.</t>
  </si>
  <si>
    <t>Image templates: breaking news overlay, exclusive badge, sponsored label, opinion illustration</t>
  </si>
  <si>
    <t>Confirm these exist as reusable design assets/components.</t>
  </si>
  <si>
    <t>Custom 404 page with search bar + trending news</t>
  </si>
  <si>
    <t>Could not be tested without triggering a real 404 route in the SPA router.</t>
  </si>
  <si>
    <t>Custom maintenance page</t>
  </si>
  <si>
    <t>P3</t>
  </si>
  <si>
    <t>3.2 Site Pages &amp; Sections</t>
  </si>
  <si>
    <t>3.2</t>
  </si>
  <si>
    <t>Homepage</t>
  </si>
  <si>
    <t>Breaking news ticker</t>
  </si>
  <si>
    <t>Present on client mockup as a scrolling ticker + price/rate widgets; live build content not visible in raw HTML (CSR).</t>
  </si>
  <si>
    <t>Hero news grid + category tab row</t>
  </si>
  <si>
    <t>Latest news card grid, infinite scroll / load more</t>
  </si>
  <si>
    <t>Video news section</t>
  </si>
  <si>
    <t>Web stories scroll section</t>
  </si>
  <si>
    <t>Business case studies section</t>
  </si>
  <si>
    <t>Crowd reporter highlight section</t>
  </si>
  <si>
    <t>Trending sidebar</t>
  </si>
  <si>
    <t>Weather widget</t>
  </si>
  <si>
    <t>Client mockup shows a live Chennai weather + 7-day forecast widget.</t>
  </si>
  <si>
    <t>Newsletter signup strip</t>
  </si>
  <si>
    <t>Category Pages</t>
  </si>
  <si>
    <t>Filterable grid, pagination, colour coding, subcategory tabs</t>
  </si>
  <si>
    <t>Article Page</t>
  </si>
  <si>
    <t>Hero image, bilingual headline, byline, timestamps, reading time</t>
  </si>
  <si>
    <t>Floating social share sidebar, related articles, tags, comments, breadcrumb</t>
  </si>
  <si>
    <t>Additional Pages</t>
  </si>
  <si>
    <t>Video news, web stories, business case studies (sponsor badge + PDF)</t>
  </si>
  <si>
    <t>Crowd reporter submission page</t>
  </si>
  <si>
    <t>Author profile pages</t>
  </si>
  <si>
    <t>Search results page</t>
  </si>
  <si>
    <t>About / Contact / Advertise / Privacy / Terms / DMCA</t>
  </si>
  <si>
    <t>Tag and date archives</t>
  </si>
  <si>
    <t>3.3 News Aggregator</t>
  </si>
  <si>
    <t>3.3</t>
  </si>
  <si>
    <t>Aggregator</t>
  </si>
  <si>
    <t>Custom RSS/Atom ingestion service (scheduled Spring Boot job)</t>
  </si>
  <si>
    <t>Backend scheduled job — not observable from the frontend at all.</t>
  </si>
  <si>
    <t>Ask backend team directly / check server logs or admin panel for feed source config.</t>
  </si>
  <si>
    <t>Source name, logo, published time, external link only (no republishing)</t>
  </si>
  <si>
    <t>Noindex meta tag on all aggregated content pages</t>
  </si>
  <si>
    <t>Cannot confirm without a live aggregated article URL.</t>
  </si>
  <si>
    <t>Section labelled 'From Other Sources' / 'Tamil News Digest'</t>
  </si>
  <si>
    <t>3.4 Google News Console Integration</t>
  </si>
  <si>
    <t>3.4</t>
  </si>
  <si>
    <t>Google News</t>
  </si>
  <si>
    <t>Register &amp; verify site on Google News Publisher Center</t>
  </si>
  <si>
    <t>Cannot confirm Publisher Center status from outside Google's console.</t>
  </si>
  <si>
    <t>Request screenshot/confirmation from whoever holds Publisher Center access.</t>
  </si>
  <si>
    <t>Google Search Console site verification</t>
  </si>
  <si>
    <t>Likely Implemented</t>
  </si>
  <si>
    <t>A 'google-site-verification' meta tag is present in both the public site and admin portal &lt;head&gt;.</t>
  </si>
  <si>
    <t>News XML sitemap job (Google News format, 48h refresh, last 2 days only)</t>
  </si>
  <si>
    <t>/sitemap.xml could not be fetched by this tool (path not previously indexed/allowed); needs direct check.</t>
  </si>
  <si>
    <t>Manually check https://king-tv.test-technoprint.online/sitemap.xml and the news sitemap variant.</t>
  </si>
  <si>
    <t>Content policy compliance (original reporting labels, author transparency, accurate dates)</t>
  </si>
  <si>
    <t>Discover eligibility (OG image sizing, AMP decision, E-E-A-T signals)</t>
  </si>
  <si>
    <t>AMP explicitly marked 'optional / evaluate' in requirements — decision not yet made per doc.</t>
  </si>
  <si>
    <t>Confirm whether AMP will be built; affects Discover eligibility plan.</t>
  </si>
  <si>
    <t>GA4 News section reporting</t>
  </si>
  <si>
    <t>NewsArticle schema validated via structured-data testing</t>
  </si>
  <si>
    <t>Schema is injected server-side per spec — cannot confirm without rendered article HTML.</t>
  </si>
  <si>
    <t>Clean article URLs (no session IDs/tracking params)</t>
  </si>
  <si>
    <t>3.5 Automated SEO Keyword System</t>
  </si>
  <si>
    <t>3.5</t>
  </si>
  <si>
    <t>SEO Automation</t>
  </si>
  <si>
    <t>Keyword extraction on article publish (custom / Google NL API / OpenAI / Anthropic)</t>
  </si>
  <si>
    <t>Only testable from inside the reporter/editor publish flow.</t>
  </si>
  <si>
    <t>Auto-generated SEO title, meta description, focus keyword, tags</t>
  </si>
  <si>
    <t>Tamil Unicode keyword handling</t>
  </si>
  <si>
    <t>Keyword density checker in editor UI</t>
  </si>
  <si>
    <t>Internal linking automation</t>
  </si>
  <si>
    <t>Schema generation: NewsArticle, BreadcrumbList, Organization, VideoObject, FAQPage, WebSite+SearchAction</t>
  </si>
  <si>
    <t>Trending keyword dashboard (admin)</t>
  </si>
  <si>
    <t>XML sitemaps: news, video, image, standard — submitted to GSC + Bing</t>
  </si>
  <si>
    <t>Not directly checkable by this tool; verify manually.</t>
  </si>
  <si>
    <t>Meta title/description length, OG + Twitter cards, canonical, hreflang (ta/en)</t>
  </si>
  <si>
    <t>Homepage &lt;head&gt; has title, meta description, viewport, theme-color; OG/Twitter/canonical/hreflang not confirmed and not present on the fetched homepage response.</t>
  </si>
  <si>
    <t>Homepage is missing an og:title/og:description/canonical tag in the raw HTML response captured — confirm whether these are injected only client-side (which would defeat their SEO purpose) or via SSR.</t>
  </si>
  <si>
    <t>Core Web Vitals: LCP&lt;2.5s, CLS&lt;0.1, INP&lt;200ms, PSI 90+ mobile</t>
  </si>
  <si>
    <t>Potential Gap - Needs Verification</t>
  </si>
  <si>
    <t>Raw HTML response has an empty &lt;body&gt; until JS executes — classic CSR pattern, which historically hurts LCP and PSI mobile scores unless heavily optimised.</t>
  </si>
  <si>
    <t>Run an actual PageSpeed Insights test against the live URL before relying on this column further.</t>
  </si>
  <si>
    <t>3.6 S3-Compatible Cloud Media Storage</t>
  </si>
  <si>
    <t>3.6</t>
  </si>
  <si>
    <t>Media Storage</t>
  </si>
  <si>
    <t>Custom Media Service (AWS SDK / S3-compatible SDK), no plugin dependency</t>
  </si>
  <si>
    <t>Backend implementation, not visible from outside.</t>
  </si>
  <si>
    <t>All media types offloaded (image/video/audio/docs/web story assets)</t>
  </si>
  <si>
    <t>CDN delivery via Cloudflare / CloudFront</t>
  </si>
  <si>
    <t>Media URLs auto-rewritten to CDN URL</t>
  </si>
  <si>
    <t>No local disk retention after successful S3 upload</t>
  </si>
  <si>
    <t>Direct video upload to S3 + transcoding pipeline (1080p/720p/480p)</t>
  </si>
  <si>
    <t>HLS adaptive streaming for mobile</t>
  </si>
  <si>
    <t>Bucket organisation convention (/images/yyyy/mm/ etc.)</t>
  </si>
  <si>
    <t>Access control — public-read delivery, write via backend service creds only</t>
  </si>
  <si>
    <t>Bucket versioning + lifecycle policy (cold storage &gt;1yr)</t>
  </si>
  <si>
    <t>Storage cost monitoring/alerting</t>
  </si>
  <si>
    <t>3.7 Performance Optimization</t>
  </si>
  <si>
    <t>3.7</t>
  </si>
  <si>
    <t>Performance</t>
  </si>
  <si>
    <t>React/Vite component library; SSR or pre-rendering for SEO-critical pages</t>
  </si>
  <si>
    <t>Homepage HTML returned with an empty body and only &lt;head&gt; tags — indicates the page is not server-rendered/pre-rendered as delivered to this fetch, which is exactly the mechanism the requirement calls for on SEO-critical pages.</t>
  </si>
  <si>
    <t>Confirm with the dev team whether SSR/pre-render is implemented but blocked for bots/tools, or genuinely not yet built.</t>
  </si>
  <si>
    <t>Redis-based response caching for list/search endpoints</t>
  </si>
  <si>
    <t>Backend-only, not observable remotely.</t>
  </si>
  <si>
    <t>Vite build minification &amp; code-splitting</t>
  </si>
  <si>
    <t>Custom image-processing pipeline (compression, WebP)</t>
  </si>
  <si>
    <t>Cloudflare CDN/DNS layer</t>
  </si>
  <si>
    <t>Google Fonts hosted locally</t>
  </si>
  <si>
    <t>Infinite scroll / load-more on feeds</t>
  </si>
  <si>
    <t>Scheduled DB maintenance jobs</t>
  </si>
  <si>
    <t>Tree-shaking / dead code elimination at build time</t>
  </si>
  <si>
    <t>Responsive srcset on all images</t>
  </si>
  <si>
    <t>3.8 Security Configuration</t>
  </si>
  <si>
    <t>3.8</t>
  </si>
  <si>
    <t>Security</t>
  </si>
  <si>
    <t>Spring Security auth/RBAC + rate limiting + Cloudflare WAF</t>
  </si>
  <si>
    <t>Two-factor authentication (TOTP) for editor/admin accounts</t>
  </si>
  <si>
    <t>Not tested — would require an actual admin login attempt.</t>
  </si>
  <si>
    <t>Login attempt limit (3 attempts -&gt; IP block)</t>
  </si>
  <si>
    <t>Not safe to brute-force test in this pass.</t>
  </si>
  <si>
    <t>Admin panel on non-predictable route, gated by authenticated API</t>
  </si>
  <si>
    <t>Admin portal is served at /admin/dashboard (not a default CMS path) and returns a distinct 'KING24X7 — Admin Portal' shell rather than site content — consistent with a gated SPA route.</t>
  </si>
  <si>
    <t>Web Application Firewall active (Cloudflare or equivalent)</t>
  </si>
  <si>
    <t>WAF headers/behaviour not distinguishable from a simple GET request.</t>
  </si>
  <si>
    <t>Daily automated DB + media backups</t>
  </si>
  <si>
    <t>SSL certificate active, HTTPS enforced sitewide</t>
  </si>
  <si>
    <t>Implemented</t>
  </si>
  <si>
    <t>Both the public site and admin portal load successfully over HTTPS.</t>
  </si>
  <si>
    <t>Secrets managed via env vars / secrets manager (never in source control)</t>
  </si>
  <si>
    <t>Requires source/repo access to confirm, not a live-site check.</t>
  </si>
  <si>
    <t>Security headers (X-Frame-Options, X-Content-Type-Options, Referrer-Policy, Permissions-Policy, CSP)</t>
  </si>
  <si>
    <t>Response headers were not captured in this pass — recommend a manual `curl -I` / browser devtools check.</t>
  </si>
  <si>
    <t>Run a header scan (e.g. securityheaders.com) against the live URL.</t>
  </si>
  <si>
    <t>UptimeRobot monitoring, 1-min downtime alert</t>
  </si>
  <si>
    <t>3.9 Advertising System</t>
  </si>
  <si>
    <t>3.9</t>
  </si>
  <si>
    <t>Advertising</t>
  </si>
  <si>
    <t>Custom Ad Management module (React admin UI + Spring Boot backend)</t>
  </si>
  <si>
    <t>10 required ad placements (leaderboard, mobile sticky, sidebar rectangle, in-content x2, sticky sidebar, interstitial, video pre-roll, sponsored card, footer banner, newsletter slot)</t>
  </si>
  <si>
    <t>Not visible without rendering the live pages; no ad units were observable in the raw HTML fetch of the homepage (expected, since body is empty pre-JS).</t>
  </si>
  <si>
    <t>Geo/device targeting, rotation, frequency capping, impression/click tracking, expiry</t>
  </si>
  <si>
    <t>Slot layout ready for future AdSense programmatic fill</t>
  </si>
  <si>
    <t>3.10 Reporter &amp; Crowd Sourcing Workflow</t>
  </si>
  <si>
    <t>3.10</t>
  </si>
  <si>
    <t>Reporter Workflow</t>
  </si>
  <si>
    <t>7-role RBAC (Subscriber, Crowd Reporter, Staff Reporter, Sub Editor, Section Editor, Chief Editor, Administrator)</t>
  </si>
  <si>
    <t>Reconcile 7-role CMS model with existing King24x7 platform roles (Super Admin/Chief Editor/District Admin/Mobile Journalist/Institution Login/Public)</t>
  </si>
  <si>
    <t>The requirements doc itself flags this as an open decision, not yet resolved.</t>
  </si>
  <si>
    <t>OPEN DECISION — the requirements doc explicitly calls this out as unresolved and blocking backend RBAC implementation. Needs a client/product decision before this can be marked complete.</t>
  </si>
  <si>
    <t>Editorial calendar module (React admin UI + scheduling API)</t>
  </si>
  <si>
    <t>Reporter dashboard scoped to own drafts/published count</t>
  </si>
  <si>
    <t>Crowd reporter submission form (name/location, title, text, image, video link)</t>
  </si>
  <si>
    <t>Auto email notification to sub-editor on new crowd submission</t>
  </si>
  <si>
    <t>3.11 Additional Features</t>
  </si>
  <si>
    <t>3.11</t>
  </si>
  <si>
    <t>Additional</t>
  </si>
  <si>
    <t>Breaking news alert bar (dismissible)</t>
  </si>
  <si>
    <t>Present as a ticker in the client mockup.</t>
  </si>
  <si>
    <t>OneSignal push notifications (free plan)</t>
  </si>
  <si>
    <t>WhatsApp share button on article pages</t>
  </si>
  <si>
    <t>Telegram auto-post via bot integration</t>
  </si>
  <si>
    <t>AMP for articles — status: optional, needs evaluation per requirements doc</t>
  </si>
  <si>
    <t>Requirements doc marks this as a decision point, not a firm requirement.</t>
  </si>
  <si>
    <t>Decide AMP vs. SSR-only approach; document the decision.</t>
  </si>
  <si>
    <t>Reading progress bar on article pages</t>
  </si>
  <si>
    <t>Estimated reading time on cards + articles</t>
  </si>
  <si>
    <t>Related articles by category/tag (not random)</t>
  </si>
  <si>
    <t>Tamil-aware search (Elasticsearch/OpenSearch with Tamil analyzer)</t>
  </si>
  <si>
    <t>Bilingual content model (DB-level TA/EN fields) + language toggle</t>
  </si>
  <si>
    <t>Author archive + tag archive pages with SEO meta</t>
  </si>
  <si>
    <t>Section 4 — Technical Foundation</t>
  </si>
  <si>
    <t>4</t>
  </si>
  <si>
    <t>Technical</t>
  </si>
  <si>
    <t>Frontend: React + Vite, SSR/pre-rendering evaluated for SEO pages</t>
  </si>
  <si>
    <t>Same CSR-only observation as §3.7 above.</t>
  </si>
  <si>
    <t>Backend: Java Spring Boot, versioned REST API (/api/v1/...)</t>
  </si>
  <si>
    <t>Database: MySQL/TiDB or PostgreSQL, supports geo/radius + full-text queries</t>
  </si>
  <si>
    <t>JWT auth with refresh-token rotation + RBAC</t>
  </si>
  <si>
    <t>S3-compatible object storage via custom Media Service</t>
  </si>
  <si>
    <t>Hosting: AWS/GCP, auto-scaling app tier, managed DB, CDN</t>
  </si>
  <si>
    <t>Full API docs, DB schema docs, deployment runbook</t>
  </si>
  <si>
    <t>Passes Google Mobile Usability Test</t>
  </si>
  <si>
    <t>Requires Google Search Console mobile usability report access.</t>
  </si>
  <si>
    <t>Issues &amp; Risk Register</t>
  </si>
  <si>
    <t>Findings from the remote check of the live build, plus structural risks called out in the requirements document itself.</t>
  </si>
  <si>
    <t>#</t>
  </si>
  <si>
    <t>Category</t>
  </si>
  <si>
    <t>Finding / Risk</t>
  </si>
  <si>
    <t>Potential Impact</t>
  </si>
  <si>
    <t>Likelihood</t>
  </si>
  <si>
    <t>Risk Level</t>
  </si>
  <si>
    <t>Recommended Action</t>
  </si>
  <si>
    <t>Branding / Design</t>
  </si>
  <si>
    <t>Live dev build shows page title 'KINGS 24x7' and a brown/gold theme (#B3732A); client's own reference mockup shows 'KING 24x7' with a blue theme (#0057FF).</t>
  </si>
  <si>
    <t>Brand inconsistency at launch; possible rework of colour tokens/logo across the whole component library if the wrong direction was built.</t>
  </si>
  <si>
    <t>Confirmed (observed directly)</t>
  </si>
  <si>
    <t>Medium</t>
  </si>
  <si>
    <t>Get written sign-off from the client on the exact brand name spelling and colour palette before more UI is built on the current theme.</t>
  </si>
  <si>
    <t>SEO / Rendering Architecture</t>
  </si>
  <si>
    <t>The live homepage's raw HTML response contains only &lt;head&gt; tags — the &lt;body&gt; is empty until client-side JavaScript executes (classic CSR SPA pattern).</t>
  </si>
  <si>
    <t>Requirements (§3.4, §3.7) call for SSR/pre-rendering on SEO-critical pages specifically to satisfy Google News/Discover indexing and Core Web Vitals (LCP). A CSR-only build risks poor crawlability and slow LCP scores.</t>
  </si>
  <si>
    <t>Observed on 1 URL; not yet confirmed at scale</t>
  </si>
  <si>
    <t>High</t>
  </si>
  <si>
    <t>Have the dev team confirm SSR/pre-rendering status directly, then validate with Google's Mobile-Friendly/Rich Results tests and a real PageSpeed Insights run before sign-off.</t>
  </si>
  <si>
    <t>SEO / Meta Tags</t>
  </si>
  <si>
    <t>No Open Graph, Twitter Card, canonical, or hreflang tags were present in the raw HTML head of the homepage fetch — only title, meta description, viewport and theme-color were found.</t>
  </si>
  <si>
    <t>If these are only injected client-side, social sharing previews and canonical/duplicate-content signals may not be picked up correctly by crawlers and social platforms that don't execute JS.</t>
  </si>
  <si>
    <t>Observed on 1 URL</t>
  </si>
  <si>
    <t>Verify whether OG/canonical/hreflang tags are server-rendered; test with Facebook Sharing Debugger and a raw curl request.</t>
  </si>
  <si>
    <t>Governance / Access</t>
  </si>
  <si>
    <t>The shared Google Sheet (requirements/status tracker) returned a 401 — this session has no read access to it.</t>
  </si>
  <si>
    <t>Any priorities, deadlines, or status already tracked by the client in that sheet could not be cross-checked or merged into this workbook, risking two conflicting sources of truth.</t>
  </si>
  <si>
    <t>Confirmed (access denied)</t>
  </si>
  <si>
    <t>Share the sheet as 'Anyone with the link – Viewer', or export/paste its contents so it can be reconciled with this tracker.</t>
  </si>
  <si>
    <t>Role Model / RBAC</t>
  </si>
  <si>
    <t>The requirements document itself flags that the 7-role CMS model (§3.10) has not yet been reconciled with the existing King24x7 platform's role hierarchy (Super Admin/Chief Editor/District Admin/Mobile Journalist/Institution Login/Public).</t>
  </si>
  <si>
    <t>Backend RBAC, permission tables and reporter dashboards may need rework if this decision is made after implementation starts.</t>
  </si>
  <si>
    <t>Confirmed (stated in requirements doc)</t>
  </si>
  <si>
    <t>Escalate as a blocking decision — get client/product sign-off on the unified role model before further backend RBAC work.</t>
  </si>
  <si>
    <t>Scope / AMP</t>
  </si>
  <si>
    <t>AMP support for articles is marked 'optional — evaluate' in the requirements rather than a firm yes/no.</t>
  </si>
  <si>
    <t>Ambiguity could lead to late discovery that Google Discover eligibility assumptions don't hold without AMP, or wasted effort building AMP that isn't needed.</t>
  </si>
  <si>
    <t>Make an explicit AMP go/no-go decision early, backed by a Core Web Vitals test on the SSR/pre-rendered build.</t>
  </si>
  <si>
    <t>Scope Creep</t>
  </si>
  <si>
    <t>The client's own reference mockup includes many rich features not described anywhere in the written requirements document (see 'Scope Gaps &amp; Clarifications' sheet) — commodity/stock/crypto price tickers, dam water-level widgets, an election results centre, daily polls, obituary/wishes/classifieds/jobs sections, and a live widget-customisation panel.</t>
  </si>
  <si>
    <t>If these are expected at launch but were never quoted/scoped, they represent significant unbudgeted and untimelined work.</t>
  </si>
  <si>
    <t>Confirmed (observed in mockup)</t>
  </si>
  <si>
    <t>Walk through the mockup with the client feature-by-feature and get an explicit in/out-of-scope decision on each item, then update the SOW/timeline/budget accordingly.</t>
  </si>
  <si>
    <t>Verification Coverage</t>
  </si>
  <si>
    <t>This automated pass cannot execute JavaScript or submit the admin login form, so ~90% of the functional requirements (reporter workflow, ad system, SEO automation, media pipeline, RBAC, security controls) could not be verified and are marked 'Pending Manual QA'.</t>
  </si>
  <si>
    <t>Without a manual walkthrough, the actual completion percentage of the build is unknown — this workbook is a checklist/framework, not a verified progress report.</t>
  </si>
  <si>
    <t>N/A — a scope limitation of this check, not a defect in the build</t>
  </si>
  <si>
    <t>Have someone log in with the provided admin credentials and a reporter account, and walk each 'Pending Manual QA' row in the Module Tracker, filling in the 'Actual Status' column.</t>
  </si>
  <si>
    <t>SEO / Sitemaps</t>
  </si>
  <si>
    <t>Google News XML sitemap, video sitemap, image sitemap and standard sitemap could not be independently fetched/verified in this pass.</t>
  </si>
  <si>
    <t>If sitemaps are missing or malformed, Google News Publisher Center submission and article indexing will be blocked.</t>
  </si>
  <si>
    <t>Unverified</t>
  </si>
  <si>
    <t>Manually check /sitemap.xml and the news-sitemap endpoint on the live domain and validate against Google's news sitemap spec.</t>
  </si>
  <si>
    <t>Security Headers</t>
  </si>
  <si>
    <t>HTTP response security headers (CSP, X-Frame-Options, Referrer-Policy, Permissions-Policy, X-Content-Type-Options) were not captured in this pass.</t>
  </si>
  <si>
    <t>Missing headers are a common launch-blocking security gap for news sites (clickjacking, MIME sniffing, XSS surface).</t>
  </si>
  <si>
    <t>Run a header scan (e.g. securityheaders.com) against the live production-candidate URL before go-live.</t>
  </si>
  <si>
    <t>Scope Gaps &amp; Clarifications Needed</t>
  </si>
  <si>
    <t>Features visible in the client's own reference mockup (lightcoral-sparrow-608215.hostingersite.com) that are NOT described anywhere in King24x7_Requirements_SpringBoot_React.docx. Each needs an explicit in/out-of-scope decision.</t>
  </si>
  <si>
    <t>Feature seen in client mockup</t>
  </si>
  <si>
    <t>Description</t>
  </si>
  <si>
    <t>In written requirements doc?</t>
  </si>
  <si>
    <t>Suggested next step</t>
  </si>
  <si>
    <t>Gold/silver/platinum price ticker</t>
  </si>
  <si>
    <t>Live per-gram rates for Chennai gold, silver, platinum.</t>
  </si>
  <si>
    <t>Not mentioned</t>
  </si>
  <si>
    <t>Confirm with client whether this is in scope for this phase; if yes, add to Module Tracker with a priority and owner.</t>
  </si>
  <si>
    <t>Vegetable &amp; commodity price board</t>
  </si>
  <si>
    <t>Daily prices for tomato, onion, potato, coconut, garlic etc.</t>
  </si>
  <si>
    <t>Agri commodity price board</t>
  </si>
  <si>
    <t>Paddy, cotton, turmeric, groundnut, sugarcane prices.</t>
  </si>
  <si>
    <t>Fuel price ticker</t>
  </si>
  <si>
    <t>Petrol/diesel/LPG/CNG prices for Chennai.</t>
  </si>
  <si>
    <t>Stock market ticker</t>
  </si>
  <si>
    <t>Sensex, Nifty, Bank Nifty, gold futures, crude oil.</t>
  </si>
  <si>
    <t>Cryptocurrency ticker</t>
  </si>
  <si>
    <t>Bitcoin, Ethereum, Solana, XRP prices.</t>
  </si>
  <si>
    <t>Dam / reservoir water-level widgets</t>
  </si>
  <si>
    <t>Current level, capacity, inflow/outflow for 7 named dams.</t>
  </si>
  <si>
    <t>Election Centre 2026</t>
  </si>
  <si>
    <t>Live seat count and vote-share by party.</t>
  </si>
  <si>
    <t>Daily reader poll</t>
  </si>
  <si>
    <t>'Who will be the next CM?' style live poll with results.</t>
  </si>
  <si>
    <t>Live TV module</t>
  </si>
  <si>
    <t>Embedded live broadcast + schedule of today's programmes.</t>
  </si>
  <si>
    <t>Only 'YouTube channel network' mentioned — a dedicated Live TV player/schedule module is not described.</t>
  </si>
  <si>
    <t>Reader-submitted local posts ('வாசகர் பக்கம்')</t>
  </si>
  <si>
    <t>Community members post local items directly (distinct from the Crowd Reporter news-submission flow in §3.10).</t>
  </si>
  <si>
    <t>Not mentioned as a separate module — may overlap with crowd reporter workflow; needs reconciling.</t>
  </si>
  <si>
    <t>Local community modules</t>
  </si>
  <si>
    <t>Directory ('நம்ம ஊர்'), Wishes ('வாழ்த்து'), Obituaries ('இரங்கல்'), Classifieds ('தள்ளுபடி'), Jobs ('வேலை'), Buy/Sell.</t>
  </si>
  <si>
    <t>Not mentioned anywhere in the RFP scope of work.</t>
  </si>
  <si>
    <t>Widget customisation panel</t>
  </si>
  <si>
    <t>End-user controls for theme, accent colour, font size, and show/hide of individual homepage widgets.</t>
  </si>
  <si>
    <t>Dark mode toggle is required (§3.1); the broader widget-level customisation panel is not.</t>
  </si>
  <si>
    <t>District-wise city selector in header</t>
  </si>
  <si>
    <t>Quick-switch between 10 named Tamil Nadu cities for localised content.</t>
  </si>
  <si>
    <t>Not explicitly described — 'District news' pages are mentioned generically in §3.2/§3.10 role table (District Admin) but not this specific header UI.</t>
  </si>
  <si>
    <t>Handover Deliverables Checklist (Section 6 of Requirements)</t>
  </si>
  <si>
    <t>Deliverable</t>
  </si>
  <si>
    <t>Status</t>
  </si>
  <si>
    <t>Complete Spring Boot backend + React frontend application, deployed, source code handed over via Git repository</t>
  </si>
  <si>
    <t>Brand style guide document — colour codes, fonts, spacing standards</t>
  </si>
  <si>
    <t>Third-party service/API list (payment gateway, SMS/OTP, AI provider, maps/geocoding, CDN, hosting) with licence/subscription and renewal details</t>
  </si>
  <si>
    <t>S3 storage configuration report — bucket structure, access policy, CDN setup</t>
  </si>
  <si>
    <t>Google News Publisher Center submission confirmation</t>
  </si>
  <si>
    <t>SEO automation configuration report — keyword extraction, schema, sitemaps</t>
  </si>
  <si>
    <t>Security configuration report confirming all measures active</t>
  </si>
  <si>
    <t>PageSpeed Insights screenshots confirming 90+ mobile score</t>
  </si>
  <si>
    <t>Google Search Console and GA4 fully connected and verified</t>
  </si>
  <si>
    <t>Admin training session — minimum 2 hours for editorial team</t>
  </si>
  <si>
    <t>Reporter role training guide (PDF)</t>
  </si>
  <si>
    <t>All source code, design files, login credentials, API documentation, and database schema documentation handed over to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</si>
</sst>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2"/>
      <color rgb="FF404040"/>
      <name val="Arial"/>
      <charset val="1"/>
    </font>
    <font>
      <i/>
      <sz val="10"/>
      <color rgb="FF595959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.5"/>
      <color rgb="FF1F3864"/>
      <name val="Arial"/>
      <charset val="1"/>
    </font>
    <font>
      <sz val="9.5"/>
      <name val="Arial"/>
      <charset val="1"/>
    </font>
    <font>
      <b/>
      <sz val="9.5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8696B"/>
        <bgColor rgb="FFFF6600"/>
      </patternFill>
    </fill>
    <fill>
      <patternFill patternType="solid">
        <fgColor rgb="FFD9D9D9"/>
        <bgColor rgb="FFD9E1F2"/>
      </patternFill>
    </fill>
    <fill>
      <patternFill patternType="solid">
        <fgColor rgb="FFFFC000"/>
        <bgColor rgb="FFFF9900"/>
      </patternFill>
    </fill>
    <fill>
      <patternFill patternType="solid">
        <fgColor rgb="FFFFEB84"/>
        <bgColor rgb="FFFFE599"/>
      </patternFill>
    </fill>
    <fill>
      <patternFill patternType="solid">
        <fgColor rgb="FFC6E0B4"/>
        <bgColor rgb="FFD9EAD3"/>
      </patternFill>
    </fill>
    <fill>
      <patternFill patternType="solid">
        <fgColor rgb="FFD9EAD3"/>
        <bgColor rgb="FFD9E1F2"/>
      </patternFill>
    </fill>
    <fill>
      <patternFill patternType="solid">
        <fgColor rgb="FFFFE599"/>
        <bgColor rgb="FFFFEB84"/>
      </patternFill>
    </fill>
    <fill>
      <patternFill patternType="solid">
        <fgColor rgb="FFF4B183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5" fillId="0" borderId="1" xfId="0" applyFont="1" applyBorder="1"/>
    <xf numFmtId="0" fontId="7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D9EAD3"/>
      <rgbColor rgb="FFFFEB84"/>
      <rgbColor rgb="FF99CCFF"/>
      <rgbColor rgb="FFF4B183"/>
      <rgbColor rgb="FFCC99FF"/>
      <rgbColor rgb="FFFFE5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zoomScaleNormal="100" workbookViewId="0">
      <selection activeCell="H23" sqref="H23"/>
    </sheetView>
  </sheetViews>
  <sheetFormatPr defaultColWidth="8.6328125" defaultRowHeight="14.5" x14ac:dyDescent="0.35"/>
  <cols>
    <col min="1" max="1" width="95" customWidth="1"/>
    <col min="2" max="2" width="14" customWidth="1"/>
    <col min="3" max="8" width="4" customWidth="1"/>
  </cols>
  <sheetData>
    <row r="1" spans="1:8" ht="20" x14ac:dyDescent="0.4">
      <c r="A1" s="5" t="s">
        <v>0</v>
      </c>
      <c r="B1" s="5"/>
      <c r="C1" s="5"/>
      <c r="D1" s="5"/>
      <c r="E1" s="5"/>
      <c r="F1" s="5"/>
      <c r="G1" s="5"/>
      <c r="H1" s="5"/>
    </row>
    <row r="2" spans="1:8" ht="15.5" x14ac:dyDescent="0.35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35">
      <c r="A3" s="3" t="s">
        <v>2</v>
      </c>
      <c r="B3" s="3"/>
      <c r="C3" s="3"/>
      <c r="D3" s="3"/>
      <c r="E3" s="3"/>
      <c r="F3" s="3"/>
      <c r="G3" s="3"/>
      <c r="H3" s="3"/>
    </row>
    <row r="5" spans="1:8" ht="15.5" x14ac:dyDescent="0.35">
      <c r="A5" s="6" t="s">
        <v>3</v>
      </c>
    </row>
    <row r="6" spans="1:8" ht="27.75" customHeight="1" x14ac:dyDescent="0.35">
      <c r="A6" s="2" t="s">
        <v>4</v>
      </c>
      <c r="B6" s="2"/>
      <c r="C6" s="2"/>
      <c r="D6" s="2"/>
      <c r="E6" s="2"/>
      <c r="F6" s="2"/>
      <c r="G6" s="2"/>
      <c r="H6" s="2"/>
    </row>
    <row r="7" spans="1:8" ht="27.75" customHeight="1" x14ac:dyDescent="0.35">
      <c r="A7" s="2" t="s">
        <v>5</v>
      </c>
      <c r="B7" s="2"/>
      <c r="C7" s="2"/>
      <c r="D7" s="2"/>
      <c r="E7" s="2"/>
      <c r="F7" s="2"/>
      <c r="G7" s="2"/>
      <c r="H7" s="2"/>
    </row>
    <row r="8" spans="1:8" ht="27.75" customHeight="1" x14ac:dyDescent="0.35">
      <c r="A8" s="2" t="s">
        <v>6</v>
      </c>
      <c r="B8" s="2"/>
      <c r="C8" s="2"/>
      <c r="D8" s="2"/>
      <c r="E8" s="2"/>
      <c r="F8" s="2"/>
      <c r="G8" s="2"/>
      <c r="H8" s="2"/>
    </row>
    <row r="9" spans="1:8" ht="27.75" customHeight="1" x14ac:dyDescent="0.35">
      <c r="A9" s="2" t="s">
        <v>7</v>
      </c>
      <c r="B9" s="2"/>
      <c r="C9" s="2"/>
      <c r="D9" s="2"/>
      <c r="E9" s="2"/>
      <c r="F9" s="2"/>
      <c r="G9" s="2"/>
      <c r="H9" s="2"/>
    </row>
    <row r="10" spans="1:8" ht="27.75" customHeight="1" x14ac:dyDescent="0.35">
      <c r="A10" s="2" t="s">
        <v>8</v>
      </c>
      <c r="B10" s="2"/>
      <c r="C10" s="2"/>
      <c r="D10" s="2"/>
      <c r="E10" s="2"/>
      <c r="F10" s="2"/>
      <c r="G10" s="2"/>
      <c r="H10" s="2"/>
    </row>
    <row r="11" spans="1:8" ht="27.75" customHeight="1" x14ac:dyDescent="0.35">
      <c r="A11" s="2" t="s">
        <v>9</v>
      </c>
      <c r="B11" s="2"/>
      <c r="C11" s="2"/>
      <c r="D11" s="2"/>
      <c r="E11" s="2"/>
      <c r="F11" s="2"/>
      <c r="G11" s="2"/>
      <c r="H11" s="2"/>
    </row>
    <row r="12" spans="1:8" ht="27.75" customHeight="1" x14ac:dyDescent="0.35">
      <c r="A12" s="2" t="s">
        <v>10</v>
      </c>
      <c r="B12" s="2"/>
      <c r="C12" s="2"/>
      <c r="D12" s="2"/>
      <c r="E12" s="2"/>
      <c r="F12" s="2"/>
      <c r="G12" s="2"/>
      <c r="H12" s="2"/>
    </row>
    <row r="14" spans="1:8" ht="15.5" x14ac:dyDescent="0.35">
      <c r="A14" s="6" t="s">
        <v>11</v>
      </c>
    </row>
    <row r="15" spans="1:8" ht="19.5" customHeight="1" x14ac:dyDescent="0.35">
      <c r="A15" s="7" t="s">
        <v>12</v>
      </c>
      <c r="B15" s="7" t="s">
        <v>13</v>
      </c>
    </row>
    <row r="16" spans="1:8" x14ac:dyDescent="0.35">
      <c r="A16" s="8" t="s">
        <v>14</v>
      </c>
      <c r="B16" s="9">
        <f>COUNTA('Module Tracker'!D6:D300)</f>
        <v>109</v>
      </c>
    </row>
    <row r="17" spans="1:8" x14ac:dyDescent="0.35">
      <c r="A17" s="8" t="s">
        <v>15</v>
      </c>
      <c r="B17" s="9">
        <f>COUNTIF('Module Tracker'!D6:D300,"P0")</f>
        <v>45</v>
      </c>
    </row>
    <row r="18" spans="1:8" x14ac:dyDescent="0.35">
      <c r="A18" s="8" t="s">
        <v>16</v>
      </c>
      <c r="B18" s="9">
        <f>COUNTIF('Module Tracker'!D6:D300,"P1")</f>
        <v>41</v>
      </c>
    </row>
    <row r="19" spans="1:8" x14ac:dyDescent="0.35">
      <c r="A19" s="8" t="s">
        <v>17</v>
      </c>
      <c r="B19" s="9">
        <f>COUNTIF('Module Tracker'!D6:D300,"P2")</f>
        <v>20</v>
      </c>
    </row>
    <row r="20" spans="1:8" x14ac:dyDescent="0.35">
      <c r="A20" s="8" t="s">
        <v>18</v>
      </c>
      <c r="B20" s="9">
        <f>COUNTIF('Module Tracker'!D6:D300,"P3")</f>
        <v>3</v>
      </c>
    </row>
    <row r="21" spans="1:8" x14ac:dyDescent="0.35">
      <c r="A21" s="8" t="s">
        <v>19</v>
      </c>
      <c r="B21" s="9">
        <f>COUNTIF('Module Tracker'!E6:E300,"Implemented")+COUNTIF('Module Tracker'!E6:E300,"Likely Implemented")</f>
        <v>3</v>
      </c>
    </row>
    <row r="22" spans="1:8" x14ac:dyDescent="0.35">
      <c r="A22" s="8" t="s">
        <v>20</v>
      </c>
      <c r="B22" s="9">
        <f>COUNTIF('Module Tracker'!E6:E300,"Partially Implemented")</f>
        <v>1</v>
      </c>
    </row>
    <row r="23" spans="1:8" x14ac:dyDescent="0.35">
      <c r="A23" s="8" t="s">
        <v>21</v>
      </c>
      <c r="B23" s="9">
        <f>COUNTIF('Module Tracker'!E6:E300,"Potential Gap - Needs Verification")</f>
        <v>3</v>
      </c>
    </row>
    <row r="24" spans="1:8" x14ac:dyDescent="0.35">
      <c r="A24" s="8" t="s">
        <v>22</v>
      </c>
      <c r="B24" s="9">
        <f>COUNTIF('Module Tracker'!E6:E300,"Pending Manual QA (Not Verifiable Remotely)")</f>
        <v>102</v>
      </c>
    </row>
    <row r="25" spans="1:8" x14ac:dyDescent="0.35">
      <c r="A25" s="8" t="s">
        <v>23</v>
      </c>
      <c r="B25" s="9">
        <f>COUNTIF('Issues &amp; Risks'!F5:F100,"Critical")</f>
        <v>0</v>
      </c>
    </row>
    <row r="26" spans="1:8" x14ac:dyDescent="0.35">
      <c r="A26" s="8" t="s">
        <v>24</v>
      </c>
      <c r="B26" s="9">
        <f>COUNTIF('Issues &amp; Risks'!F5:F100,"High")</f>
        <v>3</v>
      </c>
    </row>
    <row r="28" spans="1:8" ht="15.5" x14ac:dyDescent="0.35">
      <c r="A28" s="6" t="s">
        <v>25</v>
      </c>
    </row>
    <row r="29" spans="1:8" ht="42" customHeight="1" x14ac:dyDescent="0.35">
      <c r="A29" s="2" t="s">
        <v>26</v>
      </c>
      <c r="B29" s="2"/>
      <c r="C29" s="2"/>
      <c r="D29" s="2"/>
      <c r="E29" s="2"/>
      <c r="F29" s="2"/>
      <c r="G29" s="2"/>
      <c r="H29" s="2"/>
    </row>
    <row r="30" spans="1:8" ht="42" customHeight="1" x14ac:dyDescent="0.35">
      <c r="A30" s="2" t="s">
        <v>27</v>
      </c>
      <c r="B30" s="2"/>
      <c r="C30" s="2"/>
      <c r="D30" s="2"/>
      <c r="E30" s="2"/>
      <c r="F30" s="2"/>
      <c r="G30" s="2"/>
      <c r="H30" s="2"/>
    </row>
    <row r="31" spans="1:8" ht="42" customHeight="1" x14ac:dyDescent="0.35">
      <c r="A31" s="2" t="s">
        <v>28</v>
      </c>
      <c r="B31" s="2"/>
      <c r="C31" s="2"/>
      <c r="D31" s="2"/>
      <c r="E31" s="2"/>
      <c r="F31" s="2"/>
      <c r="G31" s="2"/>
      <c r="H31" s="2"/>
    </row>
    <row r="32" spans="1:8" ht="42" customHeight="1" x14ac:dyDescent="0.35">
      <c r="A32" s="2" t="s">
        <v>29</v>
      </c>
      <c r="B32" s="2"/>
      <c r="C32" s="2"/>
      <c r="D32" s="2"/>
      <c r="E32" s="2"/>
      <c r="F32" s="2"/>
      <c r="G32" s="2"/>
      <c r="H32" s="2"/>
    </row>
    <row r="33" spans="1:8" ht="42" customHeight="1" x14ac:dyDescent="0.35">
      <c r="A33" s="2" t="s">
        <v>30</v>
      </c>
      <c r="B33" s="2"/>
      <c r="C33" s="2"/>
      <c r="D33" s="2"/>
      <c r="E33" s="2"/>
      <c r="F33" s="2"/>
      <c r="G33" s="2"/>
      <c r="H33" s="2"/>
    </row>
    <row r="34" spans="1:8" ht="42" customHeight="1" x14ac:dyDescent="0.35">
      <c r="A34" s="2" t="s">
        <v>31</v>
      </c>
      <c r="B34" s="2"/>
      <c r="C34" s="2"/>
      <c r="D34" s="2"/>
      <c r="E34" s="2"/>
      <c r="F34" s="2"/>
      <c r="G34" s="2"/>
      <c r="H34" s="2"/>
    </row>
  </sheetData>
  <mergeCells count="16">
    <mergeCell ref="A34:H34"/>
    <mergeCell ref="A29:H29"/>
    <mergeCell ref="A30:H30"/>
    <mergeCell ref="A31:H31"/>
    <mergeCell ref="A32:H32"/>
    <mergeCell ref="A33:H33"/>
    <mergeCell ref="A8:H8"/>
    <mergeCell ref="A9:H9"/>
    <mergeCell ref="A10:H10"/>
    <mergeCell ref="A11:H11"/>
    <mergeCell ref="A12:H12"/>
    <mergeCell ref="A1:H1"/>
    <mergeCell ref="A2:H2"/>
    <mergeCell ref="A3:H3"/>
    <mergeCell ref="A6:H6"/>
    <mergeCell ref="A7:H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5"/>
  <sheetViews>
    <sheetView zoomScaleNormal="100" workbookViewId="0">
      <pane ySplit="4" topLeftCell="A117" activePane="bottomLeft" state="frozen"/>
      <selection pane="bottomLeft" activeCell="C123" sqref="C123"/>
    </sheetView>
  </sheetViews>
  <sheetFormatPr defaultColWidth="8.6328125" defaultRowHeight="14.5" x14ac:dyDescent="0.35"/>
  <cols>
    <col min="1" max="1" width="8" customWidth="1"/>
    <col min="2" max="2" width="16" customWidth="1"/>
    <col min="3" max="3" width="42" customWidth="1"/>
    <col min="4" max="4" width="8" customWidth="1"/>
    <col min="5" max="5" width="30" customWidth="1"/>
    <col min="6" max="6" width="40" customWidth="1"/>
    <col min="7" max="7" width="34" customWidth="1"/>
    <col min="8" max="8" width="30" customWidth="1"/>
    <col min="9" max="10" width="14" customWidth="1"/>
    <col min="11" max="11" width="24" customWidth="1"/>
  </cols>
  <sheetData>
    <row r="1" spans="1:13" ht="20" x14ac:dyDescent="0.4">
      <c r="A1" s="5" t="s">
        <v>32</v>
      </c>
      <c r="B1" s="5"/>
      <c r="C1" s="5"/>
      <c r="D1" s="5"/>
      <c r="E1" s="5"/>
      <c r="F1" s="5"/>
    </row>
    <row r="2" spans="1:13" x14ac:dyDescent="0.3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33.75" customHeight="1" x14ac:dyDescent="0.35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</row>
    <row r="5" spans="1:13" ht="19.5" customHeight="1" x14ac:dyDescent="0.35">
      <c r="A5" s="1" t="s">
        <v>45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36" x14ac:dyDescent="0.35">
      <c r="A6" s="10" t="s">
        <v>46</v>
      </c>
      <c r="B6" s="10" t="s">
        <v>47</v>
      </c>
      <c r="C6" s="10" t="s">
        <v>48</v>
      </c>
      <c r="D6" s="11" t="s">
        <v>49</v>
      </c>
      <c r="E6" s="12" t="s">
        <v>50</v>
      </c>
      <c r="F6" s="10" t="s">
        <v>51</v>
      </c>
      <c r="G6" s="10" t="s">
        <v>52</v>
      </c>
      <c r="H6" s="10"/>
      <c r="I6" s="10"/>
      <c r="J6" s="10"/>
      <c r="K6" s="10"/>
    </row>
    <row r="7" spans="1:13" ht="24" x14ac:dyDescent="0.35">
      <c r="A7" s="10" t="s">
        <v>46</v>
      </c>
      <c r="B7" s="10" t="s">
        <v>47</v>
      </c>
      <c r="C7" s="10" t="s">
        <v>53</v>
      </c>
      <c r="D7" s="11" t="s">
        <v>49</v>
      </c>
      <c r="E7" s="12" t="s">
        <v>50</v>
      </c>
      <c r="F7" s="10" t="s">
        <v>54</v>
      </c>
      <c r="G7" s="10" t="s">
        <v>55</v>
      </c>
      <c r="H7" s="10"/>
      <c r="I7" s="10"/>
      <c r="J7" s="10"/>
      <c r="K7" s="10"/>
    </row>
    <row r="8" spans="1:13" ht="24" x14ac:dyDescent="0.35">
      <c r="A8" s="10" t="s">
        <v>46</v>
      </c>
      <c r="B8" s="10" t="s">
        <v>47</v>
      </c>
      <c r="C8" s="10" t="s">
        <v>56</v>
      </c>
      <c r="D8" s="13" t="s">
        <v>57</v>
      </c>
      <c r="E8" s="12" t="s">
        <v>50</v>
      </c>
      <c r="F8" s="10" t="s">
        <v>58</v>
      </c>
      <c r="G8" s="10"/>
      <c r="H8" s="10"/>
      <c r="I8" s="10"/>
      <c r="J8" s="10"/>
      <c r="K8" s="10"/>
    </row>
    <row r="9" spans="1:13" ht="36" x14ac:dyDescent="0.35">
      <c r="A9" s="10" t="s">
        <v>46</v>
      </c>
      <c r="B9" s="10" t="s">
        <v>47</v>
      </c>
      <c r="C9" s="10" t="s">
        <v>59</v>
      </c>
      <c r="D9" s="14" t="s">
        <v>60</v>
      </c>
      <c r="E9" s="12" t="s">
        <v>50</v>
      </c>
      <c r="F9" s="10" t="s">
        <v>61</v>
      </c>
      <c r="G9" s="10"/>
      <c r="H9" s="10"/>
      <c r="I9" s="10"/>
      <c r="J9" s="10"/>
      <c r="K9" s="10"/>
    </row>
    <row r="10" spans="1:13" ht="24" x14ac:dyDescent="0.35">
      <c r="A10" s="10" t="s">
        <v>46</v>
      </c>
      <c r="B10" s="10" t="s">
        <v>47</v>
      </c>
      <c r="C10" s="10" t="s">
        <v>62</v>
      </c>
      <c r="D10" s="11" t="s">
        <v>49</v>
      </c>
      <c r="E10" s="12" t="s">
        <v>50</v>
      </c>
      <c r="F10" s="10" t="s">
        <v>63</v>
      </c>
      <c r="G10" s="10"/>
      <c r="H10" s="10"/>
      <c r="I10" s="10"/>
      <c r="J10" s="10"/>
      <c r="K10" s="10"/>
    </row>
    <row r="11" spans="1:13" ht="24" x14ac:dyDescent="0.35">
      <c r="A11" s="10" t="s">
        <v>46</v>
      </c>
      <c r="B11" s="10" t="s">
        <v>47</v>
      </c>
      <c r="C11" s="10" t="s">
        <v>64</v>
      </c>
      <c r="D11" s="14" t="s">
        <v>60</v>
      </c>
      <c r="E11" s="12" t="s">
        <v>50</v>
      </c>
      <c r="F11" s="10"/>
      <c r="G11" s="10" t="s">
        <v>65</v>
      </c>
      <c r="H11" s="10"/>
      <c r="I11" s="10"/>
      <c r="J11" s="10"/>
      <c r="K11" s="10"/>
    </row>
    <row r="12" spans="1:13" ht="24" x14ac:dyDescent="0.35">
      <c r="A12" s="10" t="s">
        <v>46</v>
      </c>
      <c r="B12" s="10" t="s">
        <v>47</v>
      </c>
      <c r="C12" s="10" t="s">
        <v>66</v>
      </c>
      <c r="D12" s="14" t="s">
        <v>60</v>
      </c>
      <c r="E12" s="12" t="s">
        <v>50</v>
      </c>
      <c r="F12" s="10" t="s">
        <v>67</v>
      </c>
      <c r="G12" s="10"/>
      <c r="H12" s="10"/>
      <c r="I12" s="10"/>
      <c r="J12" s="10"/>
      <c r="K12" s="10"/>
    </row>
    <row r="13" spans="1:13" ht="24" x14ac:dyDescent="0.35">
      <c r="A13" s="10" t="s">
        <v>46</v>
      </c>
      <c r="B13" s="10" t="s">
        <v>47</v>
      </c>
      <c r="C13" s="10" t="s">
        <v>68</v>
      </c>
      <c r="D13" s="15" t="s">
        <v>69</v>
      </c>
      <c r="E13" s="12" t="s">
        <v>50</v>
      </c>
      <c r="F13" s="10"/>
      <c r="G13" s="10"/>
      <c r="H13" s="10"/>
      <c r="I13" s="10"/>
      <c r="J13" s="10"/>
      <c r="K13" s="10"/>
    </row>
    <row r="14" spans="1:13" ht="19.5" customHeight="1" x14ac:dyDescent="0.35">
      <c r="A14" s="1" t="s">
        <v>70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 ht="36" x14ac:dyDescent="0.35">
      <c r="A15" s="10" t="s">
        <v>71</v>
      </c>
      <c r="B15" s="10" t="s">
        <v>72</v>
      </c>
      <c r="C15" s="10" t="s">
        <v>73</v>
      </c>
      <c r="D15" s="11" t="s">
        <v>49</v>
      </c>
      <c r="E15" s="12" t="s">
        <v>50</v>
      </c>
      <c r="F15" s="10" t="s">
        <v>74</v>
      </c>
      <c r="G15" s="10"/>
      <c r="H15" s="10"/>
      <c r="I15" s="10"/>
      <c r="J15" s="10"/>
      <c r="K15" s="10"/>
    </row>
    <row r="16" spans="1:13" ht="24" x14ac:dyDescent="0.35">
      <c r="A16" s="10" t="s">
        <v>71</v>
      </c>
      <c r="B16" s="10" t="s">
        <v>72</v>
      </c>
      <c r="C16" s="10" t="s">
        <v>75</v>
      </c>
      <c r="D16" s="11" t="s">
        <v>49</v>
      </c>
      <c r="E16" s="12" t="s">
        <v>50</v>
      </c>
      <c r="F16" s="10"/>
      <c r="G16" s="10"/>
      <c r="H16" s="10"/>
      <c r="I16" s="10"/>
      <c r="J16" s="10"/>
      <c r="K16" s="10"/>
    </row>
    <row r="17" spans="1:11" ht="24" x14ac:dyDescent="0.35">
      <c r="A17" s="10" t="s">
        <v>71</v>
      </c>
      <c r="B17" s="10" t="s">
        <v>72</v>
      </c>
      <c r="C17" s="10" t="s">
        <v>76</v>
      </c>
      <c r="D17" s="11" t="s">
        <v>49</v>
      </c>
      <c r="E17" s="12" t="s">
        <v>50</v>
      </c>
      <c r="F17" s="10"/>
      <c r="G17" s="10"/>
      <c r="H17" s="10"/>
      <c r="I17" s="10"/>
      <c r="J17" s="10"/>
      <c r="K17" s="10"/>
    </row>
    <row r="18" spans="1:11" ht="24" x14ac:dyDescent="0.35">
      <c r="A18" s="10" t="s">
        <v>71</v>
      </c>
      <c r="B18" s="10" t="s">
        <v>72</v>
      </c>
      <c r="C18" s="10" t="s">
        <v>77</v>
      </c>
      <c r="D18" s="13" t="s">
        <v>57</v>
      </c>
      <c r="E18" s="12" t="s">
        <v>50</v>
      </c>
      <c r="F18" s="10"/>
      <c r="G18" s="10"/>
      <c r="H18" s="10"/>
      <c r="I18" s="10"/>
      <c r="J18" s="10"/>
      <c r="K18" s="10"/>
    </row>
    <row r="19" spans="1:11" ht="24" x14ac:dyDescent="0.35">
      <c r="A19" s="10" t="s">
        <v>71</v>
      </c>
      <c r="B19" s="10" t="s">
        <v>72</v>
      </c>
      <c r="C19" s="10" t="s">
        <v>78</v>
      </c>
      <c r="D19" s="13" t="s">
        <v>57</v>
      </c>
      <c r="E19" s="12" t="s">
        <v>50</v>
      </c>
      <c r="F19" s="10"/>
      <c r="G19" s="10"/>
      <c r="H19" s="10"/>
      <c r="I19" s="10"/>
      <c r="J19" s="10"/>
      <c r="K19" s="10"/>
    </row>
    <row r="20" spans="1:11" ht="24" x14ac:dyDescent="0.35">
      <c r="A20" s="10" t="s">
        <v>71</v>
      </c>
      <c r="B20" s="10" t="s">
        <v>72</v>
      </c>
      <c r="C20" s="10" t="s">
        <v>79</v>
      </c>
      <c r="D20" s="13" t="s">
        <v>57</v>
      </c>
      <c r="E20" s="12" t="s">
        <v>50</v>
      </c>
      <c r="F20" s="10"/>
      <c r="G20" s="10"/>
      <c r="H20" s="10"/>
      <c r="I20" s="10"/>
      <c r="J20" s="10"/>
      <c r="K20" s="10"/>
    </row>
    <row r="21" spans="1:11" ht="24" x14ac:dyDescent="0.35">
      <c r="A21" s="10" t="s">
        <v>71</v>
      </c>
      <c r="B21" s="10" t="s">
        <v>72</v>
      </c>
      <c r="C21" s="10" t="s">
        <v>80</v>
      </c>
      <c r="D21" s="13" t="s">
        <v>57</v>
      </c>
      <c r="E21" s="12" t="s">
        <v>50</v>
      </c>
      <c r="F21" s="10"/>
      <c r="G21" s="10"/>
      <c r="H21" s="10"/>
      <c r="I21" s="10"/>
      <c r="J21" s="10"/>
      <c r="K21" s="10"/>
    </row>
    <row r="22" spans="1:11" ht="24" x14ac:dyDescent="0.35">
      <c r="A22" s="10" t="s">
        <v>71</v>
      </c>
      <c r="B22" s="10" t="s">
        <v>72</v>
      </c>
      <c r="C22" s="10" t="s">
        <v>81</v>
      </c>
      <c r="D22" s="13" t="s">
        <v>57</v>
      </c>
      <c r="E22" s="12" t="s">
        <v>50</v>
      </c>
      <c r="F22" s="10"/>
      <c r="G22" s="10"/>
      <c r="H22" s="10"/>
      <c r="I22" s="10"/>
      <c r="J22" s="10"/>
      <c r="K22" s="10"/>
    </row>
    <row r="23" spans="1:11" ht="24" x14ac:dyDescent="0.35">
      <c r="A23" s="10" t="s">
        <v>71</v>
      </c>
      <c r="B23" s="10" t="s">
        <v>72</v>
      </c>
      <c r="C23" s="10" t="s">
        <v>82</v>
      </c>
      <c r="D23" s="14" t="s">
        <v>60</v>
      </c>
      <c r="E23" s="12" t="s">
        <v>50</v>
      </c>
      <c r="F23" s="10" t="s">
        <v>83</v>
      </c>
      <c r="G23" s="10"/>
      <c r="H23" s="10"/>
      <c r="I23" s="10"/>
      <c r="J23" s="10"/>
      <c r="K23" s="10"/>
    </row>
    <row r="24" spans="1:11" ht="24" x14ac:dyDescent="0.35">
      <c r="A24" s="10" t="s">
        <v>71</v>
      </c>
      <c r="B24" s="10" t="s">
        <v>72</v>
      </c>
      <c r="C24" s="10" t="s">
        <v>84</v>
      </c>
      <c r="D24" s="14" t="s">
        <v>60</v>
      </c>
      <c r="E24" s="12" t="s">
        <v>50</v>
      </c>
      <c r="F24" s="10"/>
      <c r="G24" s="10"/>
      <c r="H24" s="10"/>
      <c r="I24" s="10"/>
      <c r="J24" s="10"/>
      <c r="K24" s="10"/>
    </row>
    <row r="25" spans="1:11" ht="24" x14ac:dyDescent="0.35">
      <c r="A25" s="10" t="s">
        <v>71</v>
      </c>
      <c r="B25" s="10" t="s">
        <v>85</v>
      </c>
      <c r="C25" s="10" t="s">
        <v>86</v>
      </c>
      <c r="D25" s="11" t="s">
        <v>49</v>
      </c>
      <c r="E25" s="12" t="s">
        <v>50</v>
      </c>
      <c r="F25" s="10"/>
      <c r="G25" s="10"/>
      <c r="H25" s="10"/>
      <c r="I25" s="10"/>
      <c r="J25" s="10"/>
      <c r="K25" s="10"/>
    </row>
    <row r="26" spans="1:11" ht="24" x14ac:dyDescent="0.35">
      <c r="A26" s="10" t="s">
        <v>71</v>
      </c>
      <c r="B26" s="10" t="s">
        <v>87</v>
      </c>
      <c r="C26" s="10" t="s">
        <v>88</v>
      </c>
      <c r="D26" s="11" t="s">
        <v>49</v>
      </c>
      <c r="E26" s="12" t="s">
        <v>50</v>
      </c>
      <c r="F26" s="10"/>
      <c r="G26" s="10"/>
      <c r="H26" s="10"/>
      <c r="I26" s="10"/>
      <c r="J26" s="10"/>
      <c r="K26" s="10"/>
    </row>
    <row r="27" spans="1:11" ht="24" x14ac:dyDescent="0.35">
      <c r="A27" s="10" t="s">
        <v>71</v>
      </c>
      <c r="B27" s="10" t="s">
        <v>87</v>
      </c>
      <c r="C27" s="10" t="s">
        <v>89</v>
      </c>
      <c r="D27" s="11" t="s">
        <v>49</v>
      </c>
      <c r="E27" s="12" t="s">
        <v>50</v>
      </c>
      <c r="F27" s="10"/>
      <c r="G27" s="10"/>
      <c r="H27" s="10"/>
      <c r="I27" s="10"/>
      <c r="J27" s="10"/>
      <c r="K27" s="10"/>
    </row>
    <row r="28" spans="1:11" ht="24" x14ac:dyDescent="0.35">
      <c r="A28" s="10" t="s">
        <v>71</v>
      </c>
      <c r="B28" s="10" t="s">
        <v>90</v>
      </c>
      <c r="C28" s="10" t="s">
        <v>91</v>
      </c>
      <c r="D28" s="13" t="s">
        <v>57</v>
      </c>
      <c r="E28" s="12" t="s">
        <v>50</v>
      </c>
      <c r="F28" s="10"/>
      <c r="G28" s="10"/>
      <c r="H28" s="10"/>
      <c r="I28" s="10"/>
      <c r="J28" s="10"/>
      <c r="K28" s="10"/>
    </row>
    <row r="29" spans="1:11" ht="24" x14ac:dyDescent="0.35">
      <c r="A29" s="10" t="s">
        <v>71</v>
      </c>
      <c r="B29" s="10" t="s">
        <v>90</v>
      </c>
      <c r="C29" s="10" t="s">
        <v>92</v>
      </c>
      <c r="D29" s="13" t="s">
        <v>57</v>
      </c>
      <c r="E29" s="12" t="s">
        <v>50</v>
      </c>
      <c r="F29" s="10"/>
      <c r="G29" s="10"/>
      <c r="H29" s="10"/>
      <c r="I29" s="10"/>
      <c r="J29" s="10"/>
      <c r="K29" s="10"/>
    </row>
    <row r="30" spans="1:11" ht="24" x14ac:dyDescent="0.35">
      <c r="A30" s="10" t="s">
        <v>71</v>
      </c>
      <c r="B30" s="10" t="s">
        <v>90</v>
      </c>
      <c r="C30" s="10" t="s">
        <v>93</v>
      </c>
      <c r="D30" s="13" t="s">
        <v>57</v>
      </c>
      <c r="E30" s="12" t="s">
        <v>50</v>
      </c>
      <c r="F30" s="10"/>
      <c r="G30" s="10"/>
      <c r="H30" s="10"/>
      <c r="I30" s="10"/>
      <c r="J30" s="10"/>
      <c r="K30" s="10"/>
    </row>
    <row r="31" spans="1:11" ht="24" x14ac:dyDescent="0.35">
      <c r="A31" s="10" t="s">
        <v>71</v>
      </c>
      <c r="B31" s="10" t="s">
        <v>90</v>
      </c>
      <c r="C31" s="10" t="s">
        <v>94</v>
      </c>
      <c r="D31" s="13" t="s">
        <v>57</v>
      </c>
      <c r="E31" s="12" t="s">
        <v>50</v>
      </c>
      <c r="F31" s="10"/>
      <c r="G31" s="10"/>
      <c r="H31" s="10"/>
      <c r="I31" s="10"/>
      <c r="J31" s="10"/>
      <c r="K31" s="10"/>
    </row>
    <row r="32" spans="1:11" ht="24" x14ac:dyDescent="0.35">
      <c r="A32" s="10" t="s">
        <v>71</v>
      </c>
      <c r="B32" s="10" t="s">
        <v>90</v>
      </c>
      <c r="C32" s="10" t="s">
        <v>95</v>
      </c>
      <c r="D32" s="13" t="s">
        <v>57</v>
      </c>
      <c r="E32" s="12" t="s">
        <v>50</v>
      </c>
      <c r="F32" s="10"/>
      <c r="G32" s="10"/>
      <c r="H32" s="10"/>
      <c r="I32" s="10"/>
      <c r="J32" s="10"/>
      <c r="K32" s="10"/>
    </row>
    <row r="33" spans="1:11" ht="24" x14ac:dyDescent="0.35">
      <c r="A33" s="10" t="s">
        <v>71</v>
      </c>
      <c r="B33" s="10" t="s">
        <v>90</v>
      </c>
      <c r="C33" s="10" t="s">
        <v>96</v>
      </c>
      <c r="D33" s="14" t="s">
        <v>60</v>
      </c>
      <c r="E33" s="12" t="s">
        <v>50</v>
      </c>
      <c r="F33" s="10"/>
      <c r="G33" s="10"/>
      <c r="H33" s="10"/>
      <c r="I33" s="10"/>
      <c r="J33" s="10"/>
      <c r="K33" s="10"/>
    </row>
    <row r="34" spans="1:11" ht="19.5" customHeight="1" x14ac:dyDescent="0.35">
      <c r="A34" s="1" t="s">
        <v>97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6" x14ac:dyDescent="0.35">
      <c r="A35" s="10" t="s">
        <v>98</v>
      </c>
      <c r="B35" s="10" t="s">
        <v>99</v>
      </c>
      <c r="C35" s="10" t="s">
        <v>100</v>
      </c>
      <c r="D35" s="13" t="s">
        <v>57</v>
      </c>
      <c r="E35" s="12" t="s">
        <v>50</v>
      </c>
      <c r="F35" s="10" t="s">
        <v>101</v>
      </c>
      <c r="G35" s="10" t="s">
        <v>102</v>
      </c>
      <c r="H35" s="10"/>
      <c r="I35" s="10"/>
      <c r="J35" s="10"/>
      <c r="K35" s="10"/>
    </row>
    <row r="36" spans="1:11" ht="24" x14ac:dyDescent="0.35">
      <c r="A36" s="10" t="s">
        <v>98</v>
      </c>
      <c r="B36" s="10" t="s">
        <v>99</v>
      </c>
      <c r="C36" s="10" t="s">
        <v>103</v>
      </c>
      <c r="D36" s="13" t="s">
        <v>57</v>
      </c>
      <c r="E36" s="12" t="s">
        <v>50</v>
      </c>
      <c r="F36" s="10"/>
      <c r="G36" s="10"/>
      <c r="H36" s="10"/>
      <c r="I36" s="10"/>
      <c r="J36" s="10"/>
      <c r="K36" s="10"/>
    </row>
    <row r="37" spans="1:11" ht="24" x14ac:dyDescent="0.35">
      <c r="A37" s="10" t="s">
        <v>98</v>
      </c>
      <c r="B37" s="10" t="s">
        <v>99</v>
      </c>
      <c r="C37" s="10" t="s">
        <v>104</v>
      </c>
      <c r="D37" s="13" t="s">
        <v>57</v>
      </c>
      <c r="E37" s="12" t="s">
        <v>50</v>
      </c>
      <c r="F37" s="10" t="s">
        <v>105</v>
      </c>
      <c r="G37" s="10"/>
      <c r="H37" s="10"/>
      <c r="I37" s="10"/>
      <c r="J37" s="10"/>
      <c r="K37" s="10"/>
    </row>
    <row r="38" spans="1:11" ht="24" x14ac:dyDescent="0.35">
      <c r="A38" s="10" t="s">
        <v>98</v>
      </c>
      <c r="B38" s="10" t="s">
        <v>99</v>
      </c>
      <c r="C38" s="10" t="s">
        <v>106</v>
      </c>
      <c r="D38" s="14" t="s">
        <v>60</v>
      </c>
      <c r="E38" s="12" t="s">
        <v>50</v>
      </c>
      <c r="F38" s="10"/>
      <c r="G38" s="10"/>
      <c r="H38" s="10"/>
      <c r="I38" s="10"/>
      <c r="J38" s="10"/>
      <c r="K38" s="10"/>
    </row>
    <row r="39" spans="1:11" ht="19.5" customHeight="1" x14ac:dyDescent="0.35">
      <c r="A39" s="1" t="s">
        <v>107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x14ac:dyDescent="0.35">
      <c r="A40" s="10" t="s">
        <v>108</v>
      </c>
      <c r="B40" s="10" t="s">
        <v>109</v>
      </c>
      <c r="C40" s="10" t="s">
        <v>110</v>
      </c>
      <c r="D40" s="11" t="s">
        <v>49</v>
      </c>
      <c r="E40" s="12" t="s">
        <v>50</v>
      </c>
      <c r="F40" s="10" t="s">
        <v>111</v>
      </c>
      <c r="G40" s="10" t="s">
        <v>112</v>
      </c>
      <c r="H40" s="10"/>
      <c r="I40" s="10"/>
      <c r="J40" s="10"/>
      <c r="K40" s="10"/>
    </row>
    <row r="41" spans="1:11" ht="24" x14ac:dyDescent="0.35">
      <c r="A41" s="10" t="s">
        <v>108</v>
      </c>
      <c r="B41" s="10" t="s">
        <v>109</v>
      </c>
      <c r="C41" s="10" t="s">
        <v>113</v>
      </c>
      <c r="D41" s="11" t="s">
        <v>49</v>
      </c>
      <c r="E41" s="16" t="s">
        <v>114</v>
      </c>
      <c r="F41" s="10" t="s">
        <v>115</v>
      </c>
      <c r="G41" s="10"/>
      <c r="H41" s="10"/>
      <c r="I41" s="10"/>
      <c r="J41" s="10"/>
      <c r="K41" s="10"/>
    </row>
    <row r="42" spans="1:11" ht="36" x14ac:dyDescent="0.35">
      <c r="A42" s="10" t="s">
        <v>108</v>
      </c>
      <c r="B42" s="10" t="s">
        <v>109</v>
      </c>
      <c r="C42" s="10" t="s">
        <v>116</v>
      </c>
      <c r="D42" s="11" t="s">
        <v>49</v>
      </c>
      <c r="E42" s="12" t="s">
        <v>50</v>
      </c>
      <c r="F42" s="10" t="s">
        <v>117</v>
      </c>
      <c r="G42" s="10" t="s">
        <v>118</v>
      </c>
      <c r="H42" s="10"/>
      <c r="I42" s="10"/>
      <c r="J42" s="10"/>
      <c r="K42" s="10"/>
    </row>
    <row r="43" spans="1:11" ht="24" x14ac:dyDescent="0.35">
      <c r="A43" s="10" t="s">
        <v>108</v>
      </c>
      <c r="B43" s="10" t="s">
        <v>109</v>
      </c>
      <c r="C43" s="10" t="s">
        <v>119</v>
      </c>
      <c r="D43" s="11" t="s">
        <v>49</v>
      </c>
      <c r="E43" s="12" t="s">
        <v>50</v>
      </c>
      <c r="F43" s="10"/>
      <c r="G43" s="10"/>
      <c r="H43" s="10"/>
      <c r="I43" s="10"/>
      <c r="J43" s="10"/>
      <c r="K43" s="10"/>
    </row>
    <row r="44" spans="1:11" ht="24" x14ac:dyDescent="0.35">
      <c r="A44" s="10" t="s">
        <v>108</v>
      </c>
      <c r="B44" s="10" t="s">
        <v>109</v>
      </c>
      <c r="C44" s="10" t="s">
        <v>120</v>
      </c>
      <c r="D44" s="13" t="s">
        <v>57</v>
      </c>
      <c r="E44" s="12" t="s">
        <v>50</v>
      </c>
      <c r="F44" s="10" t="s">
        <v>121</v>
      </c>
      <c r="G44" s="10" t="s">
        <v>122</v>
      </c>
      <c r="H44" s="10"/>
      <c r="I44" s="10"/>
      <c r="J44" s="10"/>
      <c r="K44" s="10"/>
    </row>
    <row r="45" spans="1:11" ht="24" x14ac:dyDescent="0.35">
      <c r="A45" s="10" t="s">
        <v>108</v>
      </c>
      <c r="B45" s="10" t="s">
        <v>109</v>
      </c>
      <c r="C45" s="10" t="s">
        <v>123</v>
      </c>
      <c r="D45" s="13" t="s">
        <v>57</v>
      </c>
      <c r="E45" s="12" t="s">
        <v>50</v>
      </c>
      <c r="F45" s="10"/>
      <c r="G45" s="10"/>
      <c r="H45" s="10"/>
      <c r="I45" s="10"/>
      <c r="J45" s="10"/>
      <c r="K45" s="10"/>
    </row>
    <row r="46" spans="1:11" ht="24" x14ac:dyDescent="0.35">
      <c r="A46" s="10" t="s">
        <v>108</v>
      </c>
      <c r="B46" s="10" t="s">
        <v>109</v>
      </c>
      <c r="C46" s="10" t="s">
        <v>124</v>
      </c>
      <c r="D46" s="11" t="s">
        <v>49</v>
      </c>
      <c r="E46" s="12" t="s">
        <v>50</v>
      </c>
      <c r="F46" s="10" t="s">
        <v>125</v>
      </c>
      <c r="G46" s="10"/>
      <c r="H46" s="10"/>
      <c r="I46" s="10"/>
      <c r="J46" s="10"/>
      <c r="K46" s="10"/>
    </row>
    <row r="47" spans="1:11" ht="24" x14ac:dyDescent="0.35">
      <c r="A47" s="10" t="s">
        <v>108</v>
      </c>
      <c r="B47" s="10" t="s">
        <v>109</v>
      </c>
      <c r="C47" s="10" t="s">
        <v>126</v>
      </c>
      <c r="D47" s="13" t="s">
        <v>57</v>
      </c>
      <c r="E47" s="12" t="s">
        <v>50</v>
      </c>
      <c r="F47" s="10"/>
      <c r="G47" s="10"/>
      <c r="H47" s="10"/>
      <c r="I47" s="10"/>
      <c r="J47" s="10"/>
      <c r="K47" s="10"/>
    </row>
    <row r="48" spans="1:11" ht="19.5" customHeight="1" x14ac:dyDescent="0.35">
      <c r="A48" s="1" t="s">
        <v>127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x14ac:dyDescent="0.35">
      <c r="A49" s="10" t="s">
        <v>128</v>
      </c>
      <c r="B49" s="10" t="s">
        <v>129</v>
      </c>
      <c r="C49" s="10" t="s">
        <v>130</v>
      </c>
      <c r="D49" s="11" t="s">
        <v>49</v>
      </c>
      <c r="E49" s="12" t="s">
        <v>50</v>
      </c>
      <c r="F49" s="10" t="s">
        <v>131</v>
      </c>
      <c r="G49" s="10"/>
      <c r="H49" s="10"/>
      <c r="I49" s="10"/>
      <c r="J49" s="10"/>
      <c r="K49" s="10"/>
    </row>
    <row r="50" spans="1:11" ht="24" x14ac:dyDescent="0.35">
      <c r="A50" s="10" t="s">
        <v>128</v>
      </c>
      <c r="B50" s="10" t="s">
        <v>129</v>
      </c>
      <c r="C50" s="10" t="s">
        <v>132</v>
      </c>
      <c r="D50" s="11" t="s">
        <v>49</v>
      </c>
      <c r="E50" s="12" t="s">
        <v>50</v>
      </c>
      <c r="F50" s="10"/>
      <c r="G50" s="10"/>
      <c r="H50" s="10"/>
      <c r="I50" s="10"/>
      <c r="J50" s="10"/>
      <c r="K50" s="10"/>
    </row>
    <row r="51" spans="1:11" ht="24" x14ac:dyDescent="0.35">
      <c r="A51" s="10" t="s">
        <v>128</v>
      </c>
      <c r="B51" s="10" t="s">
        <v>129</v>
      </c>
      <c r="C51" s="10" t="s">
        <v>133</v>
      </c>
      <c r="D51" s="11" t="s">
        <v>49</v>
      </c>
      <c r="E51" s="12" t="s">
        <v>50</v>
      </c>
      <c r="F51" s="10"/>
      <c r="G51" s="10"/>
      <c r="H51" s="10"/>
      <c r="I51" s="10"/>
      <c r="J51" s="10"/>
      <c r="K51" s="10"/>
    </row>
    <row r="52" spans="1:11" ht="24" x14ac:dyDescent="0.35">
      <c r="A52" s="10" t="s">
        <v>128</v>
      </c>
      <c r="B52" s="10" t="s">
        <v>129</v>
      </c>
      <c r="C52" s="10" t="s">
        <v>134</v>
      </c>
      <c r="D52" s="14" t="s">
        <v>60</v>
      </c>
      <c r="E52" s="12" t="s">
        <v>50</v>
      </c>
      <c r="F52" s="10"/>
      <c r="G52" s="10"/>
      <c r="H52" s="10"/>
      <c r="I52" s="10"/>
      <c r="J52" s="10"/>
      <c r="K52" s="10"/>
    </row>
    <row r="53" spans="1:11" ht="24" x14ac:dyDescent="0.35">
      <c r="A53" s="10" t="s">
        <v>128</v>
      </c>
      <c r="B53" s="10" t="s">
        <v>129</v>
      </c>
      <c r="C53" s="10" t="s">
        <v>135</v>
      </c>
      <c r="D53" s="14" t="s">
        <v>60</v>
      </c>
      <c r="E53" s="12" t="s">
        <v>50</v>
      </c>
      <c r="F53" s="10"/>
      <c r="G53" s="10"/>
      <c r="H53" s="10"/>
      <c r="I53" s="10"/>
      <c r="J53" s="10"/>
      <c r="K53" s="10"/>
    </row>
    <row r="54" spans="1:11" ht="36" x14ac:dyDescent="0.35">
      <c r="A54" s="10" t="s">
        <v>128</v>
      </c>
      <c r="B54" s="10" t="s">
        <v>129</v>
      </c>
      <c r="C54" s="10" t="s">
        <v>136</v>
      </c>
      <c r="D54" s="11" t="s">
        <v>49</v>
      </c>
      <c r="E54" s="12" t="s">
        <v>50</v>
      </c>
      <c r="F54" s="10"/>
      <c r="G54" s="10"/>
      <c r="H54" s="10"/>
      <c r="I54" s="10"/>
      <c r="J54" s="10"/>
      <c r="K54" s="10"/>
    </row>
    <row r="55" spans="1:11" ht="24" x14ac:dyDescent="0.35">
      <c r="A55" s="10" t="s">
        <v>128</v>
      </c>
      <c r="B55" s="10" t="s">
        <v>129</v>
      </c>
      <c r="C55" s="10" t="s">
        <v>137</v>
      </c>
      <c r="D55" s="14" t="s">
        <v>60</v>
      </c>
      <c r="E55" s="12" t="s">
        <v>50</v>
      </c>
      <c r="F55" s="10"/>
      <c r="G55" s="10"/>
      <c r="H55" s="10"/>
      <c r="I55" s="10"/>
      <c r="J55" s="10"/>
      <c r="K55" s="10"/>
    </row>
    <row r="56" spans="1:11" ht="24" x14ac:dyDescent="0.35">
      <c r="A56" s="10" t="s">
        <v>128</v>
      </c>
      <c r="B56" s="10" t="s">
        <v>129</v>
      </c>
      <c r="C56" s="10" t="s">
        <v>138</v>
      </c>
      <c r="D56" s="11" t="s">
        <v>49</v>
      </c>
      <c r="E56" s="12" t="s">
        <v>50</v>
      </c>
      <c r="F56" s="10" t="s">
        <v>139</v>
      </c>
      <c r="G56" s="10"/>
      <c r="H56" s="10"/>
      <c r="I56" s="10"/>
      <c r="J56" s="10"/>
      <c r="K56" s="10"/>
    </row>
    <row r="57" spans="1:11" ht="72" x14ac:dyDescent="0.35">
      <c r="A57" s="10" t="s">
        <v>128</v>
      </c>
      <c r="B57" s="10" t="s">
        <v>129</v>
      </c>
      <c r="C57" s="10" t="s">
        <v>140</v>
      </c>
      <c r="D57" s="11" t="s">
        <v>49</v>
      </c>
      <c r="E57" s="17" t="s">
        <v>20</v>
      </c>
      <c r="F57" s="10" t="s">
        <v>141</v>
      </c>
      <c r="G57" s="10" t="s">
        <v>142</v>
      </c>
      <c r="H57" s="10"/>
      <c r="I57" s="10"/>
      <c r="J57" s="10"/>
      <c r="K57" s="10"/>
    </row>
    <row r="58" spans="1:11" ht="48" x14ac:dyDescent="0.35">
      <c r="A58" s="10" t="s">
        <v>128</v>
      </c>
      <c r="B58" s="10" t="s">
        <v>129</v>
      </c>
      <c r="C58" s="10" t="s">
        <v>143</v>
      </c>
      <c r="D58" s="11" t="s">
        <v>49</v>
      </c>
      <c r="E58" s="18" t="s">
        <v>144</v>
      </c>
      <c r="F58" s="10" t="s">
        <v>145</v>
      </c>
      <c r="G58" s="10" t="s">
        <v>146</v>
      </c>
      <c r="H58" s="10"/>
      <c r="I58" s="10"/>
      <c r="J58" s="10"/>
      <c r="K58" s="10"/>
    </row>
    <row r="59" spans="1:11" ht="19.5" customHeight="1" x14ac:dyDescent="0.35">
      <c r="A59" s="1" t="s">
        <v>147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x14ac:dyDescent="0.35">
      <c r="A60" s="10" t="s">
        <v>148</v>
      </c>
      <c r="B60" s="10" t="s">
        <v>149</v>
      </c>
      <c r="C60" s="10" t="s">
        <v>150</v>
      </c>
      <c r="D60" s="11" t="s">
        <v>49</v>
      </c>
      <c r="E60" s="12" t="s">
        <v>50</v>
      </c>
      <c r="F60" s="10" t="s">
        <v>151</v>
      </c>
      <c r="G60" s="10"/>
      <c r="H60" s="10"/>
      <c r="I60" s="10"/>
      <c r="J60" s="10"/>
      <c r="K60" s="10"/>
    </row>
    <row r="61" spans="1:11" ht="24" x14ac:dyDescent="0.35">
      <c r="A61" s="10" t="s">
        <v>148</v>
      </c>
      <c r="B61" s="10" t="s">
        <v>149</v>
      </c>
      <c r="C61" s="10" t="s">
        <v>152</v>
      </c>
      <c r="D61" s="11" t="s">
        <v>49</v>
      </c>
      <c r="E61" s="12" t="s">
        <v>50</v>
      </c>
      <c r="F61" s="10"/>
      <c r="G61" s="10"/>
      <c r="H61" s="10"/>
      <c r="I61" s="10"/>
      <c r="J61" s="10"/>
      <c r="K61" s="10"/>
    </row>
    <row r="62" spans="1:11" ht="24" x14ac:dyDescent="0.35">
      <c r="A62" s="10" t="s">
        <v>148</v>
      </c>
      <c r="B62" s="10" t="s">
        <v>149</v>
      </c>
      <c r="C62" s="10" t="s">
        <v>153</v>
      </c>
      <c r="D62" s="11" t="s">
        <v>49</v>
      </c>
      <c r="E62" s="12" t="s">
        <v>50</v>
      </c>
      <c r="F62" s="10"/>
      <c r="G62" s="10"/>
      <c r="H62" s="10"/>
      <c r="I62" s="10"/>
      <c r="J62" s="10"/>
      <c r="K62" s="10"/>
    </row>
    <row r="63" spans="1:11" ht="24" x14ac:dyDescent="0.35">
      <c r="A63" s="10" t="s">
        <v>148</v>
      </c>
      <c r="B63" s="10" t="s">
        <v>149</v>
      </c>
      <c r="C63" s="10" t="s">
        <v>154</v>
      </c>
      <c r="D63" s="13" t="s">
        <v>57</v>
      </c>
      <c r="E63" s="12" t="s">
        <v>50</v>
      </c>
      <c r="F63" s="10"/>
      <c r="G63" s="10"/>
      <c r="H63" s="10"/>
      <c r="I63" s="10"/>
      <c r="J63" s="10"/>
      <c r="K63" s="10"/>
    </row>
    <row r="64" spans="1:11" ht="24" x14ac:dyDescent="0.35">
      <c r="A64" s="10" t="s">
        <v>148</v>
      </c>
      <c r="B64" s="10" t="s">
        <v>149</v>
      </c>
      <c r="C64" s="10" t="s">
        <v>155</v>
      </c>
      <c r="D64" s="13" t="s">
        <v>57</v>
      </c>
      <c r="E64" s="12" t="s">
        <v>50</v>
      </c>
      <c r="F64" s="10"/>
      <c r="G64" s="10"/>
      <c r="H64" s="10"/>
      <c r="I64" s="10"/>
      <c r="J64" s="10"/>
      <c r="K64" s="10"/>
    </row>
    <row r="65" spans="1:11" ht="24" x14ac:dyDescent="0.35">
      <c r="A65" s="10" t="s">
        <v>148</v>
      </c>
      <c r="B65" s="10" t="s">
        <v>149</v>
      </c>
      <c r="C65" s="10" t="s">
        <v>156</v>
      </c>
      <c r="D65" s="13" t="s">
        <v>57</v>
      </c>
      <c r="E65" s="12" t="s">
        <v>50</v>
      </c>
      <c r="F65" s="10"/>
      <c r="G65" s="10"/>
      <c r="H65" s="10"/>
      <c r="I65" s="10"/>
      <c r="J65" s="10"/>
      <c r="K65" s="10"/>
    </row>
    <row r="66" spans="1:11" ht="24" x14ac:dyDescent="0.35">
      <c r="A66" s="10" t="s">
        <v>148</v>
      </c>
      <c r="B66" s="10" t="s">
        <v>149</v>
      </c>
      <c r="C66" s="10" t="s">
        <v>157</v>
      </c>
      <c r="D66" s="14" t="s">
        <v>60</v>
      </c>
      <c r="E66" s="12" t="s">
        <v>50</v>
      </c>
      <c r="F66" s="10"/>
      <c r="G66" s="10"/>
      <c r="H66" s="10"/>
      <c r="I66" s="10"/>
      <c r="J66" s="10"/>
      <c r="K66" s="10"/>
    </row>
    <row r="67" spans="1:11" ht="24" x14ac:dyDescent="0.35">
      <c r="A67" s="10" t="s">
        <v>148</v>
      </c>
      <c r="B67" s="10" t="s">
        <v>149</v>
      </c>
      <c r="C67" s="10" t="s">
        <v>158</v>
      </c>
      <c r="D67" s="13" t="s">
        <v>57</v>
      </c>
      <c r="E67" s="12" t="s">
        <v>50</v>
      </c>
      <c r="F67" s="10"/>
      <c r="G67" s="10"/>
      <c r="H67" s="10"/>
      <c r="I67" s="10"/>
      <c r="J67" s="10"/>
      <c r="K67" s="10"/>
    </row>
    <row r="68" spans="1:11" ht="24" x14ac:dyDescent="0.35">
      <c r="A68" s="10" t="s">
        <v>148</v>
      </c>
      <c r="B68" s="10" t="s">
        <v>149</v>
      </c>
      <c r="C68" s="10" t="s">
        <v>159</v>
      </c>
      <c r="D68" s="11" t="s">
        <v>49</v>
      </c>
      <c r="E68" s="12" t="s">
        <v>50</v>
      </c>
      <c r="F68" s="10"/>
      <c r="G68" s="10"/>
      <c r="H68" s="10"/>
      <c r="I68" s="10"/>
      <c r="J68" s="10"/>
      <c r="K68" s="10"/>
    </row>
    <row r="69" spans="1:11" ht="24" x14ac:dyDescent="0.35">
      <c r="A69" s="10" t="s">
        <v>148</v>
      </c>
      <c r="B69" s="10" t="s">
        <v>149</v>
      </c>
      <c r="C69" s="10" t="s">
        <v>160</v>
      </c>
      <c r="D69" s="13" t="s">
        <v>57</v>
      </c>
      <c r="E69" s="12" t="s">
        <v>50</v>
      </c>
      <c r="F69" s="10"/>
      <c r="G69" s="10"/>
      <c r="H69" s="10"/>
      <c r="I69" s="10"/>
      <c r="J69" s="10"/>
      <c r="K69" s="10"/>
    </row>
    <row r="70" spans="1:11" ht="24" x14ac:dyDescent="0.35">
      <c r="A70" s="10" t="s">
        <v>148</v>
      </c>
      <c r="B70" s="10" t="s">
        <v>149</v>
      </c>
      <c r="C70" s="10" t="s">
        <v>161</v>
      </c>
      <c r="D70" s="14" t="s">
        <v>60</v>
      </c>
      <c r="E70" s="12" t="s">
        <v>50</v>
      </c>
      <c r="F70" s="10"/>
      <c r="G70" s="10"/>
      <c r="H70" s="10"/>
      <c r="I70" s="10"/>
      <c r="J70" s="10"/>
      <c r="K70" s="10"/>
    </row>
    <row r="71" spans="1:11" ht="19.5" customHeight="1" x14ac:dyDescent="0.35">
      <c r="A71" s="1" t="s">
        <v>162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60" x14ac:dyDescent="0.35">
      <c r="A72" s="10" t="s">
        <v>163</v>
      </c>
      <c r="B72" s="10" t="s">
        <v>164</v>
      </c>
      <c r="C72" s="10" t="s">
        <v>165</v>
      </c>
      <c r="D72" s="11" t="s">
        <v>49</v>
      </c>
      <c r="E72" s="18" t="s">
        <v>144</v>
      </c>
      <c r="F72" s="10" t="s">
        <v>166</v>
      </c>
      <c r="G72" s="10" t="s">
        <v>167</v>
      </c>
      <c r="H72" s="10"/>
      <c r="I72" s="10"/>
      <c r="J72" s="10"/>
      <c r="K72" s="10"/>
    </row>
    <row r="73" spans="1:11" ht="24" x14ac:dyDescent="0.35">
      <c r="A73" s="10" t="s">
        <v>163</v>
      </c>
      <c r="B73" s="10" t="s">
        <v>164</v>
      </c>
      <c r="C73" s="10" t="s">
        <v>168</v>
      </c>
      <c r="D73" s="13" t="s">
        <v>57</v>
      </c>
      <c r="E73" s="12" t="s">
        <v>50</v>
      </c>
      <c r="F73" s="10" t="s">
        <v>169</v>
      </c>
      <c r="G73" s="10"/>
      <c r="H73" s="10"/>
      <c r="I73" s="10"/>
      <c r="J73" s="10"/>
      <c r="K73" s="10"/>
    </row>
    <row r="74" spans="1:11" ht="24" x14ac:dyDescent="0.35">
      <c r="A74" s="10" t="s">
        <v>163</v>
      </c>
      <c r="B74" s="10" t="s">
        <v>164</v>
      </c>
      <c r="C74" s="10" t="s">
        <v>170</v>
      </c>
      <c r="D74" s="13" t="s">
        <v>57</v>
      </c>
      <c r="E74" s="12" t="s">
        <v>50</v>
      </c>
      <c r="F74" s="10"/>
      <c r="G74" s="10"/>
      <c r="H74" s="10"/>
      <c r="I74" s="10"/>
      <c r="J74" s="10"/>
      <c r="K74" s="10"/>
    </row>
    <row r="75" spans="1:11" ht="24" x14ac:dyDescent="0.35">
      <c r="A75" s="10" t="s">
        <v>163</v>
      </c>
      <c r="B75" s="10" t="s">
        <v>164</v>
      </c>
      <c r="C75" s="10" t="s">
        <v>171</v>
      </c>
      <c r="D75" s="11" t="s">
        <v>49</v>
      </c>
      <c r="E75" s="12" t="s">
        <v>50</v>
      </c>
      <c r="F75" s="10"/>
      <c r="G75" s="10"/>
      <c r="H75" s="10"/>
      <c r="I75" s="10"/>
      <c r="J75" s="10"/>
      <c r="K75" s="10"/>
    </row>
    <row r="76" spans="1:11" ht="24" x14ac:dyDescent="0.35">
      <c r="A76" s="10" t="s">
        <v>163</v>
      </c>
      <c r="B76" s="10" t="s">
        <v>164</v>
      </c>
      <c r="C76" s="10" t="s">
        <v>172</v>
      </c>
      <c r="D76" s="13" t="s">
        <v>57</v>
      </c>
      <c r="E76" s="12" t="s">
        <v>50</v>
      </c>
      <c r="F76" s="10"/>
      <c r="G76" s="10"/>
      <c r="H76" s="10"/>
      <c r="I76" s="10"/>
      <c r="J76" s="10"/>
      <c r="K76" s="10"/>
    </row>
    <row r="77" spans="1:11" ht="24" x14ac:dyDescent="0.35">
      <c r="A77" s="10" t="s">
        <v>163</v>
      </c>
      <c r="B77" s="10" t="s">
        <v>164</v>
      </c>
      <c r="C77" s="10" t="s">
        <v>173</v>
      </c>
      <c r="D77" s="14" t="s">
        <v>60</v>
      </c>
      <c r="E77" s="12" t="s">
        <v>50</v>
      </c>
      <c r="F77" s="10"/>
      <c r="G77" s="10"/>
      <c r="H77" s="10"/>
      <c r="I77" s="10"/>
      <c r="J77" s="10"/>
      <c r="K77" s="10"/>
    </row>
    <row r="78" spans="1:11" ht="24" x14ac:dyDescent="0.35">
      <c r="A78" s="10" t="s">
        <v>163</v>
      </c>
      <c r="B78" s="10" t="s">
        <v>164</v>
      </c>
      <c r="C78" s="10" t="s">
        <v>174</v>
      </c>
      <c r="D78" s="14" t="s">
        <v>60</v>
      </c>
      <c r="E78" s="12" t="s">
        <v>50</v>
      </c>
      <c r="F78" s="10"/>
      <c r="G78" s="10"/>
      <c r="H78" s="10"/>
      <c r="I78" s="10"/>
      <c r="J78" s="10"/>
      <c r="K78" s="10"/>
    </row>
    <row r="79" spans="1:11" ht="24" x14ac:dyDescent="0.35">
      <c r="A79" s="10" t="s">
        <v>163</v>
      </c>
      <c r="B79" s="10" t="s">
        <v>164</v>
      </c>
      <c r="C79" s="10" t="s">
        <v>175</v>
      </c>
      <c r="D79" s="14" t="s">
        <v>60</v>
      </c>
      <c r="E79" s="12" t="s">
        <v>50</v>
      </c>
      <c r="F79" s="10"/>
      <c r="G79" s="10"/>
      <c r="H79" s="10"/>
      <c r="I79" s="10"/>
      <c r="J79" s="10"/>
      <c r="K79" s="10"/>
    </row>
    <row r="80" spans="1:11" ht="24" x14ac:dyDescent="0.35">
      <c r="A80" s="10" t="s">
        <v>163</v>
      </c>
      <c r="B80" s="10" t="s">
        <v>164</v>
      </c>
      <c r="C80" s="10" t="s">
        <v>176</v>
      </c>
      <c r="D80" s="13" t="s">
        <v>57</v>
      </c>
      <c r="E80" s="12" t="s">
        <v>50</v>
      </c>
      <c r="F80" s="10"/>
      <c r="G80" s="10"/>
      <c r="H80" s="10"/>
      <c r="I80" s="10"/>
      <c r="J80" s="10"/>
      <c r="K80" s="10"/>
    </row>
    <row r="81" spans="1:11" ht="24" x14ac:dyDescent="0.35">
      <c r="A81" s="10" t="s">
        <v>163</v>
      </c>
      <c r="B81" s="10" t="s">
        <v>164</v>
      </c>
      <c r="C81" s="10" t="s">
        <v>177</v>
      </c>
      <c r="D81" s="13" t="s">
        <v>57</v>
      </c>
      <c r="E81" s="12" t="s">
        <v>50</v>
      </c>
      <c r="F81" s="10"/>
      <c r="G81" s="10"/>
      <c r="H81" s="10"/>
      <c r="I81" s="10"/>
      <c r="J81" s="10"/>
      <c r="K81" s="10"/>
    </row>
    <row r="82" spans="1:11" ht="19.5" customHeight="1" x14ac:dyDescent="0.35">
      <c r="A82" s="1" t="s">
        <v>178</v>
      </c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24" x14ac:dyDescent="0.35">
      <c r="A83" s="10" t="s">
        <v>179</v>
      </c>
      <c r="B83" s="10" t="s">
        <v>180</v>
      </c>
      <c r="C83" s="10" t="s">
        <v>181</v>
      </c>
      <c r="D83" s="11" t="s">
        <v>49</v>
      </c>
      <c r="E83" s="12" t="s">
        <v>50</v>
      </c>
      <c r="F83" s="10"/>
      <c r="G83" s="10"/>
      <c r="H83" s="10"/>
      <c r="I83" s="10"/>
      <c r="J83" s="10"/>
      <c r="K83" s="10"/>
    </row>
    <row r="84" spans="1:11" ht="24" x14ac:dyDescent="0.35">
      <c r="A84" s="10" t="s">
        <v>179</v>
      </c>
      <c r="B84" s="10" t="s">
        <v>180</v>
      </c>
      <c r="C84" s="10" t="s">
        <v>182</v>
      </c>
      <c r="D84" s="11" t="s">
        <v>49</v>
      </c>
      <c r="E84" s="12" t="s">
        <v>50</v>
      </c>
      <c r="F84" s="10" t="s">
        <v>183</v>
      </c>
      <c r="G84" s="10"/>
      <c r="H84" s="10"/>
      <c r="I84" s="10"/>
      <c r="J84" s="10"/>
      <c r="K84" s="10"/>
    </row>
    <row r="85" spans="1:11" ht="24" x14ac:dyDescent="0.35">
      <c r="A85" s="10" t="s">
        <v>179</v>
      </c>
      <c r="B85" s="10" t="s">
        <v>180</v>
      </c>
      <c r="C85" s="10" t="s">
        <v>184</v>
      </c>
      <c r="D85" s="11" t="s">
        <v>49</v>
      </c>
      <c r="E85" s="12" t="s">
        <v>50</v>
      </c>
      <c r="F85" s="10" t="s">
        <v>185</v>
      </c>
      <c r="G85" s="10"/>
      <c r="H85" s="10"/>
      <c r="I85" s="10"/>
      <c r="J85" s="10"/>
      <c r="K85" s="10"/>
    </row>
    <row r="86" spans="1:11" ht="48" x14ac:dyDescent="0.35">
      <c r="A86" s="10" t="s">
        <v>179</v>
      </c>
      <c r="B86" s="10" t="s">
        <v>180</v>
      </c>
      <c r="C86" s="10" t="s">
        <v>186</v>
      </c>
      <c r="D86" s="13" t="s">
        <v>57</v>
      </c>
      <c r="E86" s="16" t="s">
        <v>114</v>
      </c>
      <c r="F86" s="10" t="s">
        <v>187</v>
      </c>
      <c r="G86" s="10"/>
      <c r="H86" s="10"/>
      <c r="I86" s="10"/>
      <c r="J86" s="10"/>
      <c r="K86" s="10"/>
    </row>
    <row r="87" spans="1:11" ht="24" x14ac:dyDescent="0.35">
      <c r="A87" s="10" t="s">
        <v>179</v>
      </c>
      <c r="B87" s="10" t="s">
        <v>180</v>
      </c>
      <c r="C87" s="10" t="s">
        <v>188</v>
      </c>
      <c r="D87" s="11" t="s">
        <v>49</v>
      </c>
      <c r="E87" s="12" t="s">
        <v>50</v>
      </c>
      <c r="F87" s="10" t="s">
        <v>189</v>
      </c>
      <c r="G87" s="10"/>
      <c r="H87" s="10"/>
      <c r="I87" s="10"/>
      <c r="J87" s="10"/>
      <c r="K87" s="10"/>
    </row>
    <row r="88" spans="1:11" ht="24" x14ac:dyDescent="0.35">
      <c r="A88" s="10" t="s">
        <v>179</v>
      </c>
      <c r="B88" s="10" t="s">
        <v>180</v>
      </c>
      <c r="C88" s="10" t="s">
        <v>190</v>
      </c>
      <c r="D88" s="11" t="s">
        <v>49</v>
      </c>
      <c r="E88" s="12" t="s">
        <v>50</v>
      </c>
      <c r="F88" s="10"/>
      <c r="G88" s="10"/>
      <c r="H88" s="10"/>
      <c r="I88" s="10"/>
      <c r="J88" s="10"/>
      <c r="K88" s="10"/>
    </row>
    <row r="89" spans="1:11" ht="24" x14ac:dyDescent="0.35">
      <c r="A89" s="10" t="s">
        <v>179</v>
      </c>
      <c r="B89" s="10" t="s">
        <v>180</v>
      </c>
      <c r="C89" s="10" t="s">
        <v>191</v>
      </c>
      <c r="D89" s="11" t="s">
        <v>49</v>
      </c>
      <c r="E89" s="19" t="s">
        <v>192</v>
      </c>
      <c r="F89" s="10" t="s">
        <v>193</v>
      </c>
      <c r="G89" s="10"/>
      <c r="H89" s="10"/>
      <c r="I89" s="10"/>
      <c r="J89" s="10"/>
      <c r="K89" s="10"/>
    </row>
    <row r="90" spans="1:11" ht="24" x14ac:dyDescent="0.35">
      <c r="A90" s="10" t="s">
        <v>179</v>
      </c>
      <c r="B90" s="10" t="s">
        <v>180</v>
      </c>
      <c r="C90" s="10" t="s">
        <v>194</v>
      </c>
      <c r="D90" s="11" t="s">
        <v>49</v>
      </c>
      <c r="E90" s="12" t="s">
        <v>50</v>
      </c>
      <c r="F90" s="10" t="s">
        <v>195</v>
      </c>
      <c r="G90" s="10"/>
      <c r="H90" s="10"/>
      <c r="I90" s="10"/>
      <c r="J90" s="10"/>
      <c r="K90" s="10"/>
    </row>
    <row r="91" spans="1:11" ht="36" x14ac:dyDescent="0.35">
      <c r="A91" s="10" t="s">
        <v>179</v>
      </c>
      <c r="B91" s="10" t="s">
        <v>180</v>
      </c>
      <c r="C91" s="10" t="s">
        <v>196</v>
      </c>
      <c r="D91" s="11" t="s">
        <v>49</v>
      </c>
      <c r="E91" s="12" t="s">
        <v>50</v>
      </c>
      <c r="F91" s="10" t="s">
        <v>197</v>
      </c>
      <c r="G91" s="10" t="s">
        <v>198</v>
      </c>
      <c r="H91" s="10"/>
      <c r="I91" s="10"/>
      <c r="J91" s="10"/>
      <c r="K91" s="10"/>
    </row>
    <row r="92" spans="1:11" ht="24" x14ac:dyDescent="0.35">
      <c r="A92" s="10" t="s">
        <v>179</v>
      </c>
      <c r="B92" s="10" t="s">
        <v>180</v>
      </c>
      <c r="C92" s="10" t="s">
        <v>199</v>
      </c>
      <c r="D92" s="13" t="s">
        <v>57</v>
      </c>
      <c r="E92" s="12" t="s">
        <v>50</v>
      </c>
      <c r="F92" s="10"/>
      <c r="G92" s="10"/>
      <c r="H92" s="10"/>
      <c r="I92" s="10"/>
      <c r="J92" s="10"/>
      <c r="K92" s="10"/>
    </row>
    <row r="93" spans="1:11" ht="19.5" customHeight="1" x14ac:dyDescent="0.35">
      <c r="A93" s="1" t="s">
        <v>200</v>
      </c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24" x14ac:dyDescent="0.35">
      <c r="A94" s="10" t="s">
        <v>201</v>
      </c>
      <c r="B94" s="10" t="s">
        <v>202</v>
      </c>
      <c r="C94" s="10" t="s">
        <v>203</v>
      </c>
      <c r="D94" s="13" t="s">
        <v>57</v>
      </c>
      <c r="E94" s="12" t="s">
        <v>50</v>
      </c>
      <c r="F94" s="10"/>
      <c r="G94" s="10"/>
      <c r="H94" s="10"/>
      <c r="I94" s="10"/>
      <c r="J94" s="10"/>
      <c r="K94" s="10"/>
    </row>
    <row r="95" spans="1:11" ht="48" x14ac:dyDescent="0.35">
      <c r="A95" s="10" t="s">
        <v>201</v>
      </c>
      <c r="B95" s="10" t="s">
        <v>202</v>
      </c>
      <c r="C95" s="10" t="s">
        <v>204</v>
      </c>
      <c r="D95" s="13" t="s">
        <v>57</v>
      </c>
      <c r="E95" s="12" t="s">
        <v>50</v>
      </c>
      <c r="F95" s="10" t="s">
        <v>205</v>
      </c>
      <c r="G95" s="10"/>
      <c r="H95" s="10"/>
      <c r="I95" s="10"/>
      <c r="J95" s="10"/>
      <c r="K95" s="10"/>
    </row>
    <row r="96" spans="1:11" ht="24" x14ac:dyDescent="0.35">
      <c r="A96" s="10" t="s">
        <v>201</v>
      </c>
      <c r="B96" s="10" t="s">
        <v>202</v>
      </c>
      <c r="C96" s="10" t="s">
        <v>206</v>
      </c>
      <c r="D96" s="13" t="s">
        <v>57</v>
      </c>
      <c r="E96" s="12" t="s">
        <v>50</v>
      </c>
      <c r="F96" s="10"/>
      <c r="G96" s="10"/>
      <c r="H96" s="10"/>
      <c r="I96" s="10"/>
      <c r="J96" s="10"/>
      <c r="K96" s="10"/>
    </row>
    <row r="97" spans="1:11" ht="24" x14ac:dyDescent="0.35">
      <c r="A97" s="10" t="s">
        <v>201</v>
      </c>
      <c r="B97" s="10" t="s">
        <v>202</v>
      </c>
      <c r="C97" s="10" t="s">
        <v>207</v>
      </c>
      <c r="D97" s="14" t="s">
        <v>60</v>
      </c>
      <c r="E97" s="12" t="s">
        <v>50</v>
      </c>
      <c r="F97" s="10"/>
      <c r="G97" s="10"/>
      <c r="H97" s="10"/>
      <c r="I97" s="10"/>
      <c r="J97" s="10"/>
      <c r="K97" s="10"/>
    </row>
    <row r="98" spans="1:11" ht="19.5" customHeight="1" x14ac:dyDescent="0.35">
      <c r="A98" s="1" t="s">
        <v>208</v>
      </c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36" x14ac:dyDescent="0.35">
      <c r="A99" s="10" t="s">
        <v>209</v>
      </c>
      <c r="B99" s="10" t="s">
        <v>210</v>
      </c>
      <c r="C99" s="10" t="s">
        <v>211</v>
      </c>
      <c r="D99" s="11" t="s">
        <v>49</v>
      </c>
      <c r="E99" s="12" t="s">
        <v>50</v>
      </c>
      <c r="F99" s="10"/>
      <c r="G99" s="10"/>
      <c r="H99" s="10"/>
      <c r="I99" s="10"/>
      <c r="J99" s="10"/>
      <c r="K99" s="10"/>
    </row>
    <row r="100" spans="1:11" ht="72" x14ac:dyDescent="0.35">
      <c r="A100" s="10" t="s">
        <v>209</v>
      </c>
      <c r="B100" s="10" t="s">
        <v>210</v>
      </c>
      <c r="C100" s="10" t="s">
        <v>212</v>
      </c>
      <c r="D100" s="11" t="s">
        <v>49</v>
      </c>
      <c r="E100" s="12" t="s">
        <v>50</v>
      </c>
      <c r="F100" s="10" t="s">
        <v>213</v>
      </c>
      <c r="G100" s="10" t="s">
        <v>214</v>
      </c>
      <c r="H100" s="10"/>
      <c r="I100" s="10"/>
      <c r="J100" s="10"/>
      <c r="K100" s="10"/>
    </row>
    <row r="101" spans="1:11" ht="24" x14ac:dyDescent="0.35">
      <c r="A101" s="10" t="s">
        <v>209</v>
      </c>
      <c r="B101" s="10" t="s">
        <v>210</v>
      </c>
      <c r="C101" s="10" t="s">
        <v>215</v>
      </c>
      <c r="D101" s="13" t="s">
        <v>57</v>
      </c>
      <c r="E101" s="12" t="s">
        <v>50</v>
      </c>
      <c r="F101" s="10"/>
      <c r="G101" s="10"/>
      <c r="H101" s="10"/>
      <c r="I101" s="10"/>
      <c r="J101" s="10"/>
      <c r="K101" s="10"/>
    </row>
    <row r="102" spans="1:11" ht="24" x14ac:dyDescent="0.35">
      <c r="A102" s="10" t="s">
        <v>209</v>
      </c>
      <c r="B102" s="10" t="s">
        <v>210</v>
      </c>
      <c r="C102" s="10" t="s">
        <v>216</v>
      </c>
      <c r="D102" s="13" t="s">
        <v>57</v>
      </c>
      <c r="E102" s="12" t="s">
        <v>50</v>
      </c>
      <c r="F102" s="10"/>
      <c r="G102" s="10"/>
      <c r="H102" s="10"/>
      <c r="I102" s="10"/>
      <c r="J102" s="10"/>
      <c r="K102" s="10"/>
    </row>
    <row r="103" spans="1:11" ht="24" x14ac:dyDescent="0.35">
      <c r="A103" s="10" t="s">
        <v>209</v>
      </c>
      <c r="B103" s="10" t="s">
        <v>210</v>
      </c>
      <c r="C103" s="10" t="s">
        <v>217</v>
      </c>
      <c r="D103" s="13" t="s">
        <v>57</v>
      </c>
      <c r="E103" s="12" t="s">
        <v>50</v>
      </c>
      <c r="F103" s="10"/>
      <c r="G103" s="10"/>
      <c r="H103" s="10"/>
      <c r="I103" s="10"/>
      <c r="J103" s="10"/>
      <c r="K103" s="10"/>
    </row>
    <row r="104" spans="1:11" ht="24" x14ac:dyDescent="0.35">
      <c r="A104" s="10" t="s">
        <v>209</v>
      </c>
      <c r="B104" s="10" t="s">
        <v>210</v>
      </c>
      <c r="C104" s="10" t="s">
        <v>218</v>
      </c>
      <c r="D104" s="13" t="s">
        <v>57</v>
      </c>
      <c r="E104" s="12" t="s">
        <v>50</v>
      </c>
      <c r="F104" s="10"/>
      <c r="G104" s="10"/>
      <c r="H104" s="10"/>
      <c r="I104" s="10"/>
      <c r="J104" s="10"/>
      <c r="K104" s="10"/>
    </row>
    <row r="105" spans="1:11" ht="19.5" customHeight="1" x14ac:dyDescent="0.35">
      <c r="A105" s="1" t="s">
        <v>219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24" x14ac:dyDescent="0.35">
      <c r="A106" s="10" t="s">
        <v>220</v>
      </c>
      <c r="B106" s="10" t="s">
        <v>221</v>
      </c>
      <c r="C106" s="10" t="s">
        <v>222</v>
      </c>
      <c r="D106" s="13" t="s">
        <v>57</v>
      </c>
      <c r="E106" s="12" t="s">
        <v>50</v>
      </c>
      <c r="F106" s="10" t="s">
        <v>223</v>
      </c>
      <c r="G106" s="10"/>
      <c r="H106" s="10"/>
      <c r="I106" s="10"/>
      <c r="J106" s="10"/>
      <c r="K106" s="10"/>
    </row>
    <row r="107" spans="1:11" ht="24" x14ac:dyDescent="0.35">
      <c r="A107" s="10" t="s">
        <v>220</v>
      </c>
      <c r="B107" s="10" t="s">
        <v>221</v>
      </c>
      <c r="C107" s="10" t="s">
        <v>224</v>
      </c>
      <c r="D107" s="14" t="s">
        <v>60</v>
      </c>
      <c r="E107" s="12" t="s">
        <v>50</v>
      </c>
      <c r="F107" s="10"/>
      <c r="G107" s="10"/>
      <c r="H107" s="10"/>
      <c r="I107" s="10"/>
      <c r="J107" s="10"/>
      <c r="K107" s="10"/>
    </row>
    <row r="108" spans="1:11" ht="24" x14ac:dyDescent="0.35">
      <c r="A108" s="10" t="s">
        <v>220</v>
      </c>
      <c r="B108" s="10" t="s">
        <v>221</v>
      </c>
      <c r="C108" s="10" t="s">
        <v>225</v>
      </c>
      <c r="D108" s="13" t="s">
        <v>57</v>
      </c>
      <c r="E108" s="12" t="s">
        <v>50</v>
      </c>
      <c r="F108" s="10"/>
      <c r="G108" s="10"/>
      <c r="H108" s="10"/>
      <c r="I108" s="10"/>
      <c r="J108" s="10"/>
      <c r="K108" s="10"/>
    </row>
    <row r="109" spans="1:11" ht="24" x14ac:dyDescent="0.35">
      <c r="A109" s="10" t="s">
        <v>220</v>
      </c>
      <c r="B109" s="10" t="s">
        <v>221</v>
      </c>
      <c r="C109" s="10" t="s">
        <v>226</v>
      </c>
      <c r="D109" s="14" t="s">
        <v>60</v>
      </c>
      <c r="E109" s="12" t="s">
        <v>50</v>
      </c>
      <c r="F109" s="10"/>
      <c r="G109" s="10"/>
      <c r="H109" s="10"/>
      <c r="I109" s="10"/>
      <c r="J109" s="10"/>
      <c r="K109" s="10"/>
    </row>
    <row r="110" spans="1:11" ht="24" x14ac:dyDescent="0.35">
      <c r="A110" s="10" t="s">
        <v>220</v>
      </c>
      <c r="B110" s="10" t="s">
        <v>221</v>
      </c>
      <c r="C110" s="10" t="s">
        <v>227</v>
      </c>
      <c r="D110" s="15" t="s">
        <v>69</v>
      </c>
      <c r="E110" s="12" t="s">
        <v>50</v>
      </c>
      <c r="F110" s="10" t="s">
        <v>228</v>
      </c>
      <c r="G110" s="10" t="s">
        <v>229</v>
      </c>
      <c r="H110" s="10"/>
      <c r="I110" s="10"/>
      <c r="J110" s="10"/>
      <c r="K110" s="10"/>
    </row>
    <row r="111" spans="1:11" ht="24" x14ac:dyDescent="0.35">
      <c r="A111" s="10" t="s">
        <v>220</v>
      </c>
      <c r="B111" s="10" t="s">
        <v>221</v>
      </c>
      <c r="C111" s="10" t="s">
        <v>230</v>
      </c>
      <c r="D111" s="15" t="s">
        <v>69</v>
      </c>
      <c r="E111" s="12" t="s">
        <v>50</v>
      </c>
      <c r="F111" s="10"/>
      <c r="G111" s="10"/>
      <c r="H111" s="10"/>
      <c r="I111" s="10"/>
      <c r="J111" s="10"/>
      <c r="K111" s="10"/>
    </row>
    <row r="112" spans="1:11" ht="24" x14ac:dyDescent="0.35">
      <c r="A112" s="10" t="s">
        <v>220</v>
      </c>
      <c r="B112" s="10" t="s">
        <v>221</v>
      </c>
      <c r="C112" s="10" t="s">
        <v>231</v>
      </c>
      <c r="D112" s="14" t="s">
        <v>60</v>
      </c>
      <c r="E112" s="12" t="s">
        <v>50</v>
      </c>
      <c r="F112" s="10"/>
      <c r="G112" s="10"/>
      <c r="H112" s="10"/>
      <c r="I112" s="10"/>
      <c r="J112" s="10"/>
      <c r="K112" s="10"/>
    </row>
    <row r="113" spans="1:11" ht="24" x14ac:dyDescent="0.35">
      <c r="A113" s="10" t="s">
        <v>220</v>
      </c>
      <c r="B113" s="10" t="s">
        <v>221</v>
      </c>
      <c r="C113" s="10" t="s">
        <v>232</v>
      </c>
      <c r="D113" s="13" t="s">
        <v>57</v>
      </c>
      <c r="E113" s="12" t="s">
        <v>50</v>
      </c>
      <c r="F113" s="10"/>
      <c r="G113" s="10"/>
      <c r="H113" s="10"/>
      <c r="I113" s="10"/>
      <c r="J113" s="10"/>
      <c r="K113" s="10"/>
    </row>
    <row r="114" spans="1:11" ht="24" x14ac:dyDescent="0.35">
      <c r="A114" s="10" t="s">
        <v>220</v>
      </c>
      <c r="B114" s="10" t="s">
        <v>221</v>
      </c>
      <c r="C114" s="10" t="s">
        <v>233</v>
      </c>
      <c r="D114" s="11" t="s">
        <v>49</v>
      </c>
      <c r="E114" s="12" t="s">
        <v>50</v>
      </c>
      <c r="F114" s="10"/>
      <c r="G114" s="10"/>
      <c r="H114" s="10"/>
      <c r="I114" s="10"/>
      <c r="J114" s="10"/>
      <c r="K114" s="10"/>
    </row>
    <row r="115" spans="1:11" ht="24" x14ac:dyDescent="0.35">
      <c r="A115" s="10" t="s">
        <v>220</v>
      </c>
      <c r="B115" s="10" t="s">
        <v>221</v>
      </c>
      <c r="C115" s="10" t="s">
        <v>234</v>
      </c>
      <c r="D115" s="11" t="s">
        <v>49</v>
      </c>
      <c r="E115" s="12" t="s">
        <v>50</v>
      </c>
      <c r="F115" s="10"/>
      <c r="G115" s="10"/>
      <c r="H115" s="10"/>
      <c r="I115" s="10"/>
      <c r="J115" s="10"/>
      <c r="K115" s="10"/>
    </row>
    <row r="116" spans="1:11" ht="24" x14ac:dyDescent="0.35">
      <c r="A116" s="10" t="s">
        <v>220</v>
      </c>
      <c r="B116" s="10" t="s">
        <v>221</v>
      </c>
      <c r="C116" s="10" t="s">
        <v>235</v>
      </c>
      <c r="D116" s="14" t="s">
        <v>60</v>
      </c>
      <c r="E116" s="12" t="s">
        <v>50</v>
      </c>
      <c r="F116" s="10"/>
      <c r="G116" s="10"/>
      <c r="H116" s="10"/>
      <c r="I116" s="10"/>
      <c r="J116" s="10"/>
      <c r="K116" s="10"/>
    </row>
    <row r="117" spans="1:11" ht="19.5" customHeight="1" x14ac:dyDescent="0.35">
      <c r="A117" s="1" t="s">
        <v>236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24" x14ac:dyDescent="0.35">
      <c r="A118" s="10" t="s">
        <v>237</v>
      </c>
      <c r="B118" s="10" t="s">
        <v>238</v>
      </c>
      <c r="C118" s="10" t="s">
        <v>239</v>
      </c>
      <c r="D118" s="11" t="s">
        <v>49</v>
      </c>
      <c r="E118" s="18" t="s">
        <v>144</v>
      </c>
      <c r="F118" s="10" t="s">
        <v>240</v>
      </c>
      <c r="G118" s="10"/>
      <c r="H118" s="10"/>
      <c r="I118" s="10"/>
      <c r="J118" s="10"/>
      <c r="K118" s="10"/>
    </row>
    <row r="119" spans="1:11" ht="24" x14ac:dyDescent="0.35">
      <c r="A119" s="10" t="s">
        <v>237</v>
      </c>
      <c r="B119" s="10" t="s">
        <v>238</v>
      </c>
      <c r="C119" s="10" t="s">
        <v>241</v>
      </c>
      <c r="D119" s="11" t="s">
        <v>49</v>
      </c>
      <c r="E119" s="12" t="s">
        <v>50</v>
      </c>
      <c r="F119" s="10"/>
      <c r="G119" s="10"/>
      <c r="H119" s="10"/>
      <c r="I119" s="10"/>
      <c r="J119" s="10"/>
      <c r="K119" s="10"/>
    </row>
    <row r="120" spans="1:11" ht="24" x14ac:dyDescent="0.35">
      <c r="A120" s="10" t="s">
        <v>237</v>
      </c>
      <c r="B120" s="10" t="s">
        <v>238</v>
      </c>
      <c r="C120" s="10" t="s">
        <v>242</v>
      </c>
      <c r="D120" s="11" t="s">
        <v>49</v>
      </c>
      <c r="E120" s="12" t="s">
        <v>50</v>
      </c>
      <c r="F120" s="10"/>
      <c r="G120" s="10"/>
      <c r="H120" s="10"/>
      <c r="I120" s="10"/>
      <c r="J120" s="10"/>
      <c r="K120" s="10"/>
    </row>
    <row r="121" spans="1:11" ht="24" x14ac:dyDescent="0.35">
      <c r="A121" s="10" t="s">
        <v>237</v>
      </c>
      <c r="B121" s="10" t="s">
        <v>238</v>
      </c>
      <c r="C121" s="10" t="s">
        <v>243</v>
      </c>
      <c r="D121" s="11" t="s">
        <v>49</v>
      </c>
      <c r="E121" s="12" t="s">
        <v>50</v>
      </c>
      <c r="F121" s="10"/>
      <c r="G121" s="10"/>
      <c r="H121" s="10"/>
      <c r="I121" s="10"/>
      <c r="J121" s="10"/>
      <c r="K121" s="10"/>
    </row>
    <row r="122" spans="1:11" ht="24" x14ac:dyDescent="0.35">
      <c r="A122" s="10" t="s">
        <v>237</v>
      </c>
      <c r="B122" s="10" t="s">
        <v>238</v>
      </c>
      <c r="C122" s="10" t="s">
        <v>244</v>
      </c>
      <c r="D122" s="11" t="s">
        <v>49</v>
      </c>
      <c r="E122" s="12" t="s">
        <v>50</v>
      </c>
      <c r="F122" s="10"/>
      <c r="G122" s="10"/>
      <c r="H122" s="10"/>
      <c r="I122" s="10"/>
      <c r="J122" s="10"/>
      <c r="K122" s="10"/>
    </row>
    <row r="123" spans="1:11" ht="24" x14ac:dyDescent="0.35">
      <c r="A123" s="10" t="s">
        <v>237</v>
      </c>
      <c r="B123" s="10" t="s">
        <v>238</v>
      </c>
      <c r="C123" s="10" t="s">
        <v>245</v>
      </c>
      <c r="D123" s="11" t="s">
        <v>49</v>
      </c>
      <c r="E123" s="12" t="s">
        <v>50</v>
      </c>
      <c r="F123" s="10"/>
      <c r="G123" s="10"/>
      <c r="H123" s="10"/>
      <c r="I123" s="10"/>
      <c r="J123" s="10"/>
      <c r="K123" s="10"/>
    </row>
    <row r="124" spans="1:11" ht="24" x14ac:dyDescent="0.35">
      <c r="A124" s="10" t="s">
        <v>237</v>
      </c>
      <c r="B124" s="10" t="s">
        <v>238</v>
      </c>
      <c r="C124" s="10" t="s">
        <v>246</v>
      </c>
      <c r="D124" s="13" t="s">
        <v>57</v>
      </c>
      <c r="E124" s="12" t="s">
        <v>50</v>
      </c>
      <c r="F124" s="10"/>
      <c r="G124" s="10"/>
      <c r="H124" s="10"/>
      <c r="I124" s="10"/>
      <c r="J124" s="10"/>
      <c r="K124" s="10"/>
    </row>
    <row r="125" spans="1:11" ht="24" x14ac:dyDescent="0.35">
      <c r="A125" s="10" t="s">
        <v>237</v>
      </c>
      <c r="B125" s="10" t="s">
        <v>238</v>
      </c>
      <c r="C125" s="10" t="s">
        <v>247</v>
      </c>
      <c r="D125" s="13" t="s">
        <v>57</v>
      </c>
      <c r="E125" s="12" t="s">
        <v>50</v>
      </c>
      <c r="F125" s="10" t="s">
        <v>248</v>
      </c>
      <c r="G125" s="10"/>
      <c r="H125" s="10"/>
      <c r="I125" s="10"/>
      <c r="J125" s="10"/>
      <c r="K125" s="10"/>
    </row>
  </sheetData>
  <mergeCells count="14">
    <mergeCell ref="A93:K93"/>
    <mergeCell ref="A98:K98"/>
    <mergeCell ref="A105:K105"/>
    <mergeCell ref="A117:K117"/>
    <mergeCell ref="A39:K39"/>
    <mergeCell ref="A48:K48"/>
    <mergeCell ref="A59:K59"/>
    <mergeCell ref="A71:K71"/>
    <mergeCell ref="A82:K82"/>
    <mergeCell ref="A1:F1"/>
    <mergeCell ref="A2:M2"/>
    <mergeCell ref="A5:K5"/>
    <mergeCell ref="A14:K14"/>
    <mergeCell ref="A34:K34"/>
  </mergeCells>
  <dataValidations count="2">
    <dataValidation type="list" allowBlank="1" sqref="D5:D125" xr:uid="{00000000-0002-0000-0100-000000000000}">
      <formula1>"P0,P1,P2,P3"</formula1>
      <formula2>0</formula2>
    </dataValidation>
    <dataValidation type="list" allowBlank="1" sqref="H5:H125" xr:uid="{00000000-0002-0000-0100-000001000000}">
      <formula1>"Not Started,In Progress,Implemented,Partially Implemented,Blocked,Verified Working"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tabSelected="1" zoomScaleNormal="100" workbookViewId="0">
      <pane ySplit="4" topLeftCell="A5" activePane="bottomLeft" state="frozen"/>
      <selection pane="bottomLeft" sqref="A1:F1"/>
    </sheetView>
  </sheetViews>
  <sheetFormatPr defaultColWidth="8.6328125" defaultRowHeight="14.5" x14ac:dyDescent="0.35"/>
  <cols>
    <col min="1" max="1" width="4" customWidth="1"/>
    <col min="2" max="2" width="16" customWidth="1"/>
    <col min="3" max="3" width="46" customWidth="1"/>
    <col min="4" max="4" width="40" customWidth="1"/>
    <col min="5" max="5" width="16" customWidth="1"/>
    <col min="6" max="6" width="12" customWidth="1"/>
    <col min="7" max="7" width="46" customWidth="1"/>
  </cols>
  <sheetData>
    <row r="1" spans="1:7" ht="20" x14ac:dyDescent="0.4">
      <c r="A1" s="5" t="s">
        <v>249</v>
      </c>
      <c r="B1" s="5"/>
      <c r="C1" s="5"/>
      <c r="D1" s="5"/>
      <c r="E1" s="5"/>
      <c r="F1" s="5"/>
    </row>
    <row r="2" spans="1:7" x14ac:dyDescent="0.35">
      <c r="A2" s="3" t="s">
        <v>250</v>
      </c>
      <c r="B2" s="3"/>
      <c r="C2" s="3"/>
      <c r="D2" s="3"/>
      <c r="E2" s="3"/>
      <c r="F2" s="3"/>
    </row>
    <row r="4" spans="1:7" ht="30" customHeight="1" x14ac:dyDescent="0.35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  <c r="F4" s="7" t="s">
        <v>256</v>
      </c>
      <c r="G4" s="7" t="s">
        <v>257</v>
      </c>
    </row>
    <row r="5" spans="1:7" ht="60" customHeight="1" x14ac:dyDescent="0.35">
      <c r="A5" s="20">
        <v>1</v>
      </c>
      <c r="B5" s="10" t="s">
        <v>258</v>
      </c>
      <c r="C5" s="10" t="s">
        <v>259</v>
      </c>
      <c r="D5" s="10" t="s">
        <v>260</v>
      </c>
      <c r="E5" s="10" t="s">
        <v>261</v>
      </c>
      <c r="F5" s="13" t="s">
        <v>262</v>
      </c>
      <c r="G5" s="10" t="s">
        <v>263</v>
      </c>
    </row>
    <row r="6" spans="1:7" ht="60" customHeight="1" x14ac:dyDescent="0.35">
      <c r="A6" s="20">
        <v>2</v>
      </c>
      <c r="B6" s="10" t="s">
        <v>264</v>
      </c>
      <c r="C6" s="10" t="s">
        <v>265</v>
      </c>
      <c r="D6" s="10" t="s">
        <v>266</v>
      </c>
      <c r="E6" s="10" t="s">
        <v>267</v>
      </c>
      <c r="F6" s="11" t="s">
        <v>268</v>
      </c>
      <c r="G6" s="10" t="s">
        <v>269</v>
      </c>
    </row>
    <row r="7" spans="1:7" ht="60" customHeight="1" x14ac:dyDescent="0.35">
      <c r="A7" s="20">
        <v>3</v>
      </c>
      <c r="B7" s="10" t="s">
        <v>270</v>
      </c>
      <c r="C7" s="10" t="s">
        <v>271</v>
      </c>
      <c r="D7" s="10" t="s">
        <v>272</v>
      </c>
      <c r="E7" s="10" t="s">
        <v>273</v>
      </c>
      <c r="F7" s="13" t="s">
        <v>262</v>
      </c>
      <c r="G7" s="10" t="s">
        <v>274</v>
      </c>
    </row>
    <row r="8" spans="1:7" ht="60" customHeight="1" x14ac:dyDescent="0.35">
      <c r="A8" s="20">
        <v>4</v>
      </c>
      <c r="B8" s="10" t="s">
        <v>275</v>
      </c>
      <c r="C8" s="10" t="s">
        <v>276</v>
      </c>
      <c r="D8" s="10" t="s">
        <v>277</v>
      </c>
      <c r="E8" s="10" t="s">
        <v>278</v>
      </c>
      <c r="F8" s="13" t="s">
        <v>262</v>
      </c>
      <c r="G8" s="10" t="s">
        <v>279</v>
      </c>
    </row>
    <row r="9" spans="1:7" ht="60" customHeight="1" x14ac:dyDescent="0.35">
      <c r="A9" s="20">
        <v>5</v>
      </c>
      <c r="B9" s="10" t="s">
        <v>280</v>
      </c>
      <c r="C9" s="10" t="s">
        <v>281</v>
      </c>
      <c r="D9" s="10" t="s">
        <v>282</v>
      </c>
      <c r="E9" s="10" t="s">
        <v>283</v>
      </c>
      <c r="F9" s="11" t="s">
        <v>268</v>
      </c>
      <c r="G9" s="10" t="s">
        <v>284</v>
      </c>
    </row>
    <row r="10" spans="1:7" ht="60" customHeight="1" x14ac:dyDescent="0.35">
      <c r="A10" s="20">
        <v>6</v>
      </c>
      <c r="B10" s="10" t="s">
        <v>285</v>
      </c>
      <c r="C10" s="10" t="s">
        <v>286</v>
      </c>
      <c r="D10" s="10" t="s">
        <v>287</v>
      </c>
      <c r="E10" s="10" t="s">
        <v>283</v>
      </c>
      <c r="F10" s="13" t="s">
        <v>262</v>
      </c>
      <c r="G10" s="10" t="s">
        <v>288</v>
      </c>
    </row>
    <row r="11" spans="1:7" ht="60" customHeight="1" x14ac:dyDescent="0.35">
      <c r="A11" s="20">
        <v>7</v>
      </c>
      <c r="B11" s="10" t="s">
        <v>289</v>
      </c>
      <c r="C11" s="10" t="s">
        <v>290</v>
      </c>
      <c r="D11" s="10" t="s">
        <v>291</v>
      </c>
      <c r="E11" s="10" t="s">
        <v>292</v>
      </c>
      <c r="F11" s="11" t="s">
        <v>268</v>
      </c>
      <c r="G11" s="10" t="s">
        <v>293</v>
      </c>
    </row>
    <row r="12" spans="1:7" ht="60" customHeight="1" x14ac:dyDescent="0.35">
      <c r="A12" s="20">
        <v>8</v>
      </c>
      <c r="B12" s="10" t="s">
        <v>294</v>
      </c>
      <c r="C12" s="10" t="s">
        <v>295</v>
      </c>
      <c r="D12" s="10" t="s">
        <v>296</v>
      </c>
      <c r="E12" s="10" t="s">
        <v>297</v>
      </c>
      <c r="F12" s="13" t="s">
        <v>262</v>
      </c>
      <c r="G12" s="10" t="s">
        <v>298</v>
      </c>
    </row>
    <row r="13" spans="1:7" ht="60" customHeight="1" x14ac:dyDescent="0.35">
      <c r="A13" s="20">
        <v>9</v>
      </c>
      <c r="B13" s="10" t="s">
        <v>299</v>
      </c>
      <c r="C13" s="10" t="s">
        <v>300</v>
      </c>
      <c r="D13" s="10" t="s">
        <v>301</v>
      </c>
      <c r="E13" s="10" t="s">
        <v>302</v>
      </c>
      <c r="F13" s="13" t="s">
        <v>262</v>
      </c>
      <c r="G13" s="10" t="s">
        <v>303</v>
      </c>
    </row>
    <row r="14" spans="1:7" ht="60" customHeight="1" x14ac:dyDescent="0.35">
      <c r="A14" s="20">
        <v>10</v>
      </c>
      <c r="B14" s="10" t="s">
        <v>304</v>
      </c>
      <c r="C14" s="10" t="s">
        <v>305</v>
      </c>
      <c r="D14" s="10" t="s">
        <v>306</v>
      </c>
      <c r="E14" s="10" t="s">
        <v>302</v>
      </c>
      <c r="F14" s="13" t="s">
        <v>262</v>
      </c>
      <c r="G14" s="10" t="s">
        <v>307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>
      <pane ySplit="4" topLeftCell="A15" activePane="bottomLeft" state="frozen"/>
      <selection pane="bottomLeft" activeCell="D19" sqref="D19"/>
    </sheetView>
  </sheetViews>
  <sheetFormatPr defaultColWidth="8.6328125" defaultRowHeight="14.5" x14ac:dyDescent="0.35"/>
  <cols>
    <col min="1" max="1" width="4" customWidth="1"/>
    <col min="2" max="2" width="30" customWidth="1"/>
    <col min="3" max="3" width="46" customWidth="1"/>
    <col min="4" max="4" width="30" customWidth="1"/>
    <col min="5" max="5" width="46" customWidth="1"/>
  </cols>
  <sheetData>
    <row r="1" spans="1:5" ht="20" x14ac:dyDescent="0.4">
      <c r="A1" s="5" t="s">
        <v>308</v>
      </c>
      <c r="B1" s="5"/>
      <c r="C1" s="5"/>
      <c r="D1" s="5"/>
      <c r="E1" s="5"/>
    </row>
    <row r="2" spans="1:5" x14ac:dyDescent="0.35">
      <c r="A2" s="3" t="s">
        <v>309</v>
      </c>
      <c r="B2" s="3"/>
      <c r="C2" s="3"/>
      <c r="D2" s="3"/>
      <c r="E2" s="3"/>
    </row>
    <row r="4" spans="1:5" ht="27.75" customHeight="1" x14ac:dyDescent="0.35">
      <c r="A4" s="7" t="s">
        <v>251</v>
      </c>
      <c r="B4" s="7" t="s">
        <v>310</v>
      </c>
      <c r="C4" s="7" t="s">
        <v>311</v>
      </c>
      <c r="D4" s="7" t="s">
        <v>312</v>
      </c>
      <c r="E4" s="7" t="s">
        <v>313</v>
      </c>
    </row>
    <row r="5" spans="1:5" ht="39.75" customHeight="1" x14ac:dyDescent="0.35">
      <c r="A5" s="20">
        <v>1</v>
      </c>
      <c r="B5" s="10" t="s">
        <v>314</v>
      </c>
      <c r="C5" s="10" t="s">
        <v>315</v>
      </c>
      <c r="D5" s="10" t="s">
        <v>316</v>
      </c>
      <c r="E5" s="10" t="s">
        <v>317</v>
      </c>
    </row>
    <row r="6" spans="1:5" ht="39.75" customHeight="1" x14ac:dyDescent="0.35">
      <c r="A6" s="20">
        <v>2</v>
      </c>
      <c r="B6" s="10" t="s">
        <v>318</v>
      </c>
      <c r="C6" s="10" t="s">
        <v>319</v>
      </c>
      <c r="D6" s="10" t="s">
        <v>316</v>
      </c>
      <c r="E6" s="10" t="s">
        <v>317</v>
      </c>
    </row>
    <row r="7" spans="1:5" ht="39.75" customHeight="1" x14ac:dyDescent="0.35">
      <c r="A7" s="20">
        <v>3</v>
      </c>
      <c r="B7" s="10" t="s">
        <v>320</v>
      </c>
      <c r="C7" s="10" t="s">
        <v>321</v>
      </c>
      <c r="D7" s="10" t="s">
        <v>316</v>
      </c>
      <c r="E7" s="10" t="s">
        <v>317</v>
      </c>
    </row>
    <row r="8" spans="1:5" ht="39.75" customHeight="1" x14ac:dyDescent="0.35">
      <c r="A8" s="20">
        <v>4</v>
      </c>
      <c r="B8" s="10" t="s">
        <v>322</v>
      </c>
      <c r="C8" s="10" t="s">
        <v>323</v>
      </c>
      <c r="D8" s="10" t="s">
        <v>316</v>
      </c>
      <c r="E8" s="10" t="s">
        <v>317</v>
      </c>
    </row>
    <row r="9" spans="1:5" ht="39.75" customHeight="1" x14ac:dyDescent="0.35">
      <c r="A9" s="20">
        <v>5</v>
      </c>
      <c r="B9" s="10" t="s">
        <v>324</v>
      </c>
      <c r="C9" s="10" t="s">
        <v>325</v>
      </c>
      <c r="D9" s="10" t="s">
        <v>316</v>
      </c>
      <c r="E9" s="10" t="s">
        <v>317</v>
      </c>
    </row>
    <row r="10" spans="1:5" ht="39.75" customHeight="1" x14ac:dyDescent="0.35">
      <c r="A10" s="20">
        <v>6</v>
      </c>
      <c r="B10" s="10" t="s">
        <v>326</v>
      </c>
      <c r="C10" s="10" t="s">
        <v>327</v>
      </c>
      <c r="D10" s="10" t="s">
        <v>316</v>
      </c>
      <c r="E10" s="10" t="s">
        <v>317</v>
      </c>
    </row>
    <row r="11" spans="1:5" ht="39.75" customHeight="1" x14ac:dyDescent="0.35">
      <c r="A11" s="20">
        <v>7</v>
      </c>
      <c r="B11" s="10" t="s">
        <v>328</v>
      </c>
      <c r="C11" s="10" t="s">
        <v>329</v>
      </c>
      <c r="D11" s="10" t="s">
        <v>316</v>
      </c>
      <c r="E11" s="10" t="s">
        <v>317</v>
      </c>
    </row>
    <row r="12" spans="1:5" ht="39.75" customHeight="1" x14ac:dyDescent="0.35">
      <c r="A12" s="20">
        <v>8</v>
      </c>
      <c r="B12" s="10" t="s">
        <v>330</v>
      </c>
      <c r="C12" s="10" t="s">
        <v>331</v>
      </c>
      <c r="D12" s="10" t="s">
        <v>316</v>
      </c>
      <c r="E12" s="10" t="s">
        <v>317</v>
      </c>
    </row>
    <row r="13" spans="1:5" ht="39.75" customHeight="1" x14ac:dyDescent="0.35">
      <c r="A13" s="20">
        <v>9</v>
      </c>
      <c r="B13" s="10" t="s">
        <v>332</v>
      </c>
      <c r="C13" s="10" t="s">
        <v>333</v>
      </c>
      <c r="D13" s="10" t="s">
        <v>316</v>
      </c>
      <c r="E13" s="10" t="s">
        <v>317</v>
      </c>
    </row>
    <row r="14" spans="1:5" ht="39.75" customHeight="1" x14ac:dyDescent="0.35">
      <c r="A14" s="20">
        <v>10</v>
      </c>
      <c r="B14" s="10" t="s">
        <v>334</v>
      </c>
      <c r="C14" s="10" t="s">
        <v>335</v>
      </c>
      <c r="D14" s="10" t="s">
        <v>336</v>
      </c>
      <c r="E14" s="10" t="s">
        <v>317</v>
      </c>
    </row>
    <row r="15" spans="1:5" ht="39.75" customHeight="1" x14ac:dyDescent="0.35">
      <c r="A15" s="20">
        <v>11</v>
      </c>
      <c r="B15" s="10" t="s">
        <v>337</v>
      </c>
      <c r="C15" s="10" t="s">
        <v>338</v>
      </c>
      <c r="D15" s="10" t="s">
        <v>339</v>
      </c>
      <c r="E15" s="10" t="s">
        <v>317</v>
      </c>
    </row>
    <row r="16" spans="1:5" ht="39.75" customHeight="1" x14ac:dyDescent="0.35">
      <c r="A16" s="20">
        <v>12</v>
      </c>
      <c r="B16" s="10" t="s">
        <v>340</v>
      </c>
      <c r="C16" s="10" t="s">
        <v>341</v>
      </c>
      <c r="D16" s="10" t="s">
        <v>342</v>
      </c>
      <c r="E16" s="10" t="s">
        <v>317</v>
      </c>
    </row>
    <row r="17" spans="1:5" ht="39.75" customHeight="1" x14ac:dyDescent="0.35">
      <c r="A17" s="20">
        <v>13</v>
      </c>
      <c r="B17" s="10" t="s">
        <v>343</v>
      </c>
      <c r="C17" s="10" t="s">
        <v>344</v>
      </c>
      <c r="D17" s="10" t="s">
        <v>345</v>
      </c>
      <c r="E17" s="10" t="s">
        <v>317</v>
      </c>
    </row>
    <row r="18" spans="1:5" ht="39.75" customHeight="1" x14ac:dyDescent="0.35">
      <c r="A18" s="20">
        <v>14</v>
      </c>
      <c r="B18" s="10" t="s">
        <v>346</v>
      </c>
      <c r="C18" s="10" t="s">
        <v>347</v>
      </c>
      <c r="D18" s="10" t="s">
        <v>348</v>
      </c>
      <c r="E18" s="10" t="s">
        <v>317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Normal="100" workbookViewId="0">
      <pane ySplit="3" topLeftCell="A4" activePane="bottomLeft" state="frozen"/>
      <selection pane="bottomLeft" sqref="A1:D1"/>
    </sheetView>
  </sheetViews>
  <sheetFormatPr defaultColWidth="8.6328125" defaultRowHeight="14.5" x14ac:dyDescent="0.35"/>
  <cols>
    <col min="1" max="1" width="4" customWidth="1"/>
    <col min="2" max="2" width="60" customWidth="1"/>
    <col min="3" max="3" width="30" customWidth="1"/>
    <col min="4" max="4" width="40" customWidth="1"/>
  </cols>
  <sheetData>
    <row r="1" spans="1:4" ht="20" x14ac:dyDescent="0.4">
      <c r="A1" s="5" t="s">
        <v>349</v>
      </c>
      <c r="B1" s="5"/>
      <c r="C1" s="5"/>
      <c r="D1" s="5"/>
    </row>
    <row r="3" spans="1:4" ht="25.5" customHeight="1" x14ac:dyDescent="0.35">
      <c r="A3" s="7" t="s">
        <v>251</v>
      </c>
      <c r="B3" s="7" t="s">
        <v>350</v>
      </c>
      <c r="C3" s="7" t="s">
        <v>351</v>
      </c>
      <c r="D3" s="7" t="s">
        <v>44</v>
      </c>
    </row>
    <row r="4" spans="1:4" ht="30" customHeight="1" x14ac:dyDescent="0.35">
      <c r="A4" s="21">
        <v>1</v>
      </c>
      <c r="B4" s="22" t="s">
        <v>352</v>
      </c>
      <c r="C4" s="23" t="s">
        <v>50</v>
      </c>
      <c r="D4" s="22"/>
    </row>
    <row r="5" spans="1:4" ht="30" customHeight="1" x14ac:dyDescent="0.35">
      <c r="A5" s="21">
        <v>2</v>
      </c>
      <c r="B5" s="22" t="s">
        <v>353</v>
      </c>
      <c r="C5" s="23" t="s">
        <v>50</v>
      </c>
      <c r="D5" s="22"/>
    </row>
    <row r="6" spans="1:4" ht="30" customHeight="1" x14ac:dyDescent="0.35">
      <c r="A6" s="21">
        <v>3</v>
      </c>
      <c r="B6" s="22" t="s">
        <v>354</v>
      </c>
      <c r="C6" s="23" t="s">
        <v>50</v>
      </c>
      <c r="D6" s="22"/>
    </row>
    <row r="7" spans="1:4" ht="30" customHeight="1" x14ac:dyDescent="0.35">
      <c r="A7" s="21">
        <v>4</v>
      </c>
      <c r="B7" s="22" t="s">
        <v>355</v>
      </c>
      <c r="C7" s="23" t="s">
        <v>50</v>
      </c>
      <c r="D7" s="22"/>
    </row>
    <row r="8" spans="1:4" ht="30" customHeight="1" x14ac:dyDescent="0.35">
      <c r="A8" s="21">
        <v>5</v>
      </c>
      <c r="B8" s="22" t="s">
        <v>356</v>
      </c>
      <c r="C8" s="23" t="s">
        <v>50</v>
      </c>
      <c r="D8" s="22"/>
    </row>
    <row r="9" spans="1:4" ht="30" customHeight="1" x14ac:dyDescent="0.35">
      <c r="A9" s="21">
        <v>6</v>
      </c>
      <c r="B9" s="22" t="s">
        <v>357</v>
      </c>
      <c r="C9" s="23" t="s">
        <v>50</v>
      </c>
      <c r="D9" s="22"/>
    </row>
    <row r="10" spans="1:4" ht="30" customHeight="1" x14ac:dyDescent="0.35">
      <c r="A10" s="21">
        <v>7</v>
      </c>
      <c r="B10" s="22" t="s">
        <v>358</v>
      </c>
      <c r="C10" s="23" t="s">
        <v>50</v>
      </c>
      <c r="D10" s="22"/>
    </row>
    <row r="11" spans="1:4" ht="30" customHeight="1" x14ac:dyDescent="0.35">
      <c r="A11" s="21">
        <v>8</v>
      </c>
      <c r="B11" s="22" t="s">
        <v>359</v>
      </c>
      <c r="C11" s="23" t="s">
        <v>50</v>
      </c>
      <c r="D11" s="22"/>
    </row>
    <row r="12" spans="1:4" ht="30" customHeight="1" x14ac:dyDescent="0.35">
      <c r="A12" s="21">
        <v>9</v>
      </c>
      <c r="B12" s="22" t="s">
        <v>360</v>
      </c>
      <c r="C12" s="23" t="s">
        <v>50</v>
      </c>
      <c r="D12" s="22"/>
    </row>
    <row r="13" spans="1:4" ht="30" customHeight="1" x14ac:dyDescent="0.35">
      <c r="A13" s="21">
        <v>10</v>
      </c>
      <c r="B13" s="22" t="s">
        <v>361</v>
      </c>
      <c r="C13" s="23" t="s">
        <v>50</v>
      </c>
      <c r="D13" s="22"/>
    </row>
    <row r="14" spans="1:4" ht="30" customHeight="1" x14ac:dyDescent="0.35">
      <c r="A14" s="21">
        <v>11</v>
      </c>
      <c r="B14" s="22" t="s">
        <v>362</v>
      </c>
      <c r="C14" s="23" t="s">
        <v>50</v>
      </c>
      <c r="D14" s="22"/>
    </row>
    <row r="15" spans="1:4" ht="30" customHeight="1" x14ac:dyDescent="0.35">
      <c r="A15" s="21">
        <v>12</v>
      </c>
      <c r="B15" s="22" t="s">
        <v>363</v>
      </c>
      <c r="C15" s="23" t="s">
        <v>50</v>
      </c>
      <c r="D15" s="22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Module Tracker</vt:lpstr>
      <vt:lpstr>Issues &amp; Risks</vt:lpstr>
      <vt:lpstr>Scope Gaps &amp; Clarifications</vt:lpstr>
      <vt:lpstr>Deliverables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ASHWIKA K</cp:lastModifiedBy>
  <cp:revision>0</cp:revision>
  <cp:lastPrinted>2026-07-25T08:38:06Z</cp:lastPrinted>
  <dcterms:created xsi:type="dcterms:W3CDTF">2026-07-25T07:03:10Z</dcterms:created>
  <dcterms:modified xsi:type="dcterms:W3CDTF">2026-07-25T08:38:10Z</dcterms:modified>
  <dc:language>en-US</dc:language>
</cp:coreProperties>
</file>